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o8sv0073\デジタルソリューション事業部\物流FA\ＭＳ文書\関係会社\221GC020_福助工業　新物流センタ\04_基本設計\02_PLC伝送仕様書\11_19_S&amp;S制御盤(PLC10_PLC18)\"/>
    </mc:Choice>
  </mc:AlternateContent>
  <xr:revisionPtr revIDLastSave="0" documentId="13_ncr:1_{896454C1-EFE2-43F1-BCFA-4AF1680B8DA9}" xr6:coauthVersionLast="47" xr6:coauthVersionMax="47" xr10:uidLastSave="{00000000-0000-0000-0000-000000000000}"/>
  <bookViews>
    <workbookView xWindow="-120" yWindow="-120" windowWidth="29040" windowHeight="15840" tabRatio="893" firstSheet="1" activeTab="1" xr2:uid="{00000000-000D-0000-FFFF-FFFF00000000}"/>
  </bookViews>
  <sheets>
    <sheet name="説明" sheetId="4" r:id="rId1"/>
    <sheet name="レジスタ概要" sheetId="10" r:id="rId2"/>
    <sheet name="D0000" sheetId="11" r:id="rId3"/>
    <sheet name="D0010" sheetId="133" r:id="rId4"/>
    <sheet name="D0030" sheetId="127" r:id="rId5"/>
    <sheet name="D0040" sheetId="139" r:id="rId6"/>
    <sheet name="D0120" sheetId="136" r:id="rId7"/>
    <sheet name="D0130" sheetId="140" r:id="rId8"/>
    <sheet name="D0140" sheetId="141" r:id="rId9"/>
    <sheet name="D0150" sheetId="43" r:id="rId10"/>
    <sheet name="D0170" sheetId="105" r:id="rId11"/>
    <sheet name="D0190" sheetId="48" r:id="rId12"/>
    <sheet name="D0200" sheetId="49" r:id="rId13"/>
    <sheet name="D0210" sheetId="53" r:id="rId14"/>
    <sheet name="D0220" sheetId="54" r:id="rId15"/>
    <sheet name="D0230" sheetId="55" r:id="rId16"/>
    <sheet name="D0240" sheetId="128" r:id="rId17"/>
    <sheet name="D0290" sheetId="59" r:id="rId18"/>
    <sheet name="D0310" sheetId="124" r:id="rId19"/>
    <sheet name="D0320" sheetId="125" r:id="rId20"/>
    <sheet name="D0380" sheetId="134" r:id="rId21"/>
    <sheet name="D0400" sheetId="71" r:id="rId22"/>
    <sheet name="D0410" sheetId="72" r:id="rId23"/>
    <sheet name="D0420" sheetId="73" r:id="rId24"/>
    <sheet name="D0430" sheetId="74" r:id="rId25"/>
    <sheet name="D0440" sheetId="75" r:id="rId26"/>
    <sheet name="D0450" sheetId="76" r:id="rId27"/>
    <sheet name="D0460" sheetId="77" r:id="rId28"/>
    <sheet name="D0470" sheetId="78" r:id="rId29"/>
    <sheet name="D0480" sheetId="79" r:id="rId30"/>
    <sheet name="D0490" sheetId="80" r:id="rId31"/>
    <sheet name="D0500" sheetId="122" r:id="rId32"/>
    <sheet name="D0510" sheetId="123" r:id="rId33"/>
    <sheet name="D0520" sheetId="129" r:id="rId34"/>
    <sheet name="D0530" sheetId="130" r:id="rId35"/>
    <sheet name="D0540" sheetId="150" r:id="rId36"/>
    <sheet name="D0550" sheetId="151" r:id="rId37"/>
    <sheet name="D0720" sheetId="121" r:id="rId38"/>
    <sheet name="D0730" sheetId="120" r:id="rId39"/>
    <sheet name="D0770" sheetId="135" r:id="rId40"/>
    <sheet name="D0780" sheetId="111" r:id="rId41"/>
    <sheet name="Form" sheetId="6" r:id="rId42"/>
  </sheets>
  <definedNames>
    <definedName name="_xlnm.Print_Area" localSheetId="4">'D0030'!$A$1:$W$29</definedName>
    <definedName name="_xlnm.Print_Area" localSheetId="38">'D0730'!$A$1:$W$29</definedName>
    <definedName name="_xlnm.Print_Area" localSheetId="1">レジスタ概要!$A$1:$I$43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151" l="1"/>
  <c r="A2" i="151"/>
  <c r="R2" i="150"/>
  <c r="A2" i="150"/>
  <c r="R2" i="141" l="1"/>
  <c r="A2" i="141"/>
  <c r="R2" i="140"/>
  <c r="A2" i="140"/>
  <c r="R2" i="139"/>
  <c r="A2" i="139"/>
  <c r="R2" i="136"/>
  <c r="A2" i="136"/>
  <c r="R2" i="135"/>
  <c r="A2" i="135"/>
  <c r="J28" i="133"/>
  <c r="J28" i="127" s="1"/>
  <c r="R2" i="134"/>
  <c r="A2" i="134"/>
  <c r="R2" i="133"/>
  <c r="A2" i="133"/>
  <c r="R2" i="130"/>
  <c r="A2" i="130"/>
  <c r="R2" i="129"/>
  <c r="A2" i="129"/>
  <c r="R2" i="128"/>
  <c r="A2" i="128"/>
  <c r="R2" i="127"/>
  <c r="A2" i="127"/>
  <c r="A2" i="11"/>
  <c r="R2" i="11"/>
  <c r="A2" i="43"/>
  <c r="R2" i="43"/>
  <c r="A2" i="105"/>
  <c r="R2" i="105"/>
  <c r="A2" i="48"/>
  <c r="R2" i="48"/>
  <c r="A2" i="49"/>
  <c r="R2" i="49"/>
  <c r="A2" i="53"/>
  <c r="R2" i="53"/>
  <c r="A2" i="54"/>
  <c r="R2" i="54"/>
  <c r="A2" i="55"/>
  <c r="R2" i="55"/>
  <c r="A2" i="59"/>
  <c r="R2" i="59"/>
  <c r="A2" i="124"/>
  <c r="R2" i="124"/>
  <c r="A2" i="125"/>
  <c r="R2" i="125"/>
  <c r="A2" i="71"/>
  <c r="R2" i="71"/>
  <c r="A2" i="72"/>
  <c r="R2" i="72"/>
  <c r="A2" i="73"/>
  <c r="R2" i="73"/>
  <c r="A2" i="74"/>
  <c r="R2" i="74"/>
  <c r="A2" i="75"/>
  <c r="R2" i="75"/>
  <c r="A2" i="76"/>
  <c r="R2" i="76"/>
  <c r="A2" i="77"/>
  <c r="R2" i="77"/>
  <c r="A2" i="78"/>
  <c r="R2" i="78"/>
  <c r="A2" i="79"/>
  <c r="R2" i="79"/>
  <c r="A2" i="80"/>
  <c r="R2" i="80"/>
  <c r="A2" i="122"/>
  <c r="R2" i="122"/>
  <c r="A2" i="123"/>
  <c r="R2" i="123"/>
  <c r="A2" i="121"/>
  <c r="R2" i="121"/>
  <c r="A2" i="120"/>
  <c r="R2" i="120"/>
  <c r="A2" i="111"/>
  <c r="R2" i="111"/>
  <c r="A2" i="6"/>
  <c r="R2" i="6"/>
  <c r="J28" i="139" l="1"/>
  <c r="J28" i="136" s="1"/>
  <c r="J28" i="140" l="1"/>
  <c r="J28" i="141" s="1"/>
  <c r="J28" i="43" l="1"/>
  <c r="J28" i="105" s="1"/>
  <c r="J28" i="48" s="1"/>
  <c r="J28" i="49" l="1"/>
  <c r="J28" i="53" s="1"/>
  <c r="J28" i="54" s="1"/>
  <c r="J28" i="55" s="1"/>
  <c r="J28" i="128" l="1"/>
  <c r="J28" i="59" s="1"/>
  <c r="J28" i="124" l="1"/>
  <c r="J28" i="125" s="1"/>
  <c r="J28" i="134" s="1"/>
  <c r="J28" i="71" s="1"/>
  <c r="J28" i="72" s="1"/>
  <c r="J28" i="73" s="1"/>
  <c r="J28" i="74" s="1"/>
  <c r="J28" i="75" s="1"/>
  <c r="J28" i="76" s="1"/>
  <c r="J28" i="77" s="1"/>
  <c r="J28" i="78" s="1"/>
  <c r="J28" i="79" s="1"/>
  <c r="J28" i="80" s="1"/>
  <c r="J28" i="122" s="1"/>
  <c r="J28" i="123" s="1"/>
  <c r="J28" i="129" s="1"/>
  <c r="J28" i="130" s="1"/>
  <c r="J28" i="150" s="1"/>
  <c r="J28" i="151" s="1"/>
  <c r="J28" i="121" l="1"/>
  <c r="J28" i="120" s="1"/>
  <c r="J28" i="135" s="1"/>
  <c r="J28" i="111" s="1"/>
</calcChain>
</file>

<file path=xl/sharedStrings.xml><?xml version="1.0" encoding="utf-8"?>
<sst xmlns="http://schemas.openxmlformats.org/spreadsheetml/2006/main" count="2986" uniqueCount="791">
  <si>
    <t>(このシートは説明用です....)</t>
  </si>
  <si>
    <t>このシートにはシート生成用のマクロが含まれていますので、
マクロは「有効」にして下さい。</t>
  </si>
  <si>
    <t>各シートの説明</t>
  </si>
  <si>
    <t>消去可否</t>
  </si>
  <si>
    <t>シート名</t>
  </si>
  <si>
    <t>枚数</t>
  </si>
  <si>
    <t>内　　　容</t>
  </si>
  <si>
    <t>×</t>
  </si>
  <si>
    <t>説明</t>
  </si>
  <si>
    <t>このシート</t>
  </si>
  <si>
    <t>全PLCﾚｼﾞｽﾀ概要</t>
  </si>
  <si>
    <t>レジスタ全体レイアウトシート</t>
  </si>
  <si>
    <t>○</t>
  </si>
  <si>
    <t>09XXX</t>
  </si>
  <si>
    <t>1～</t>
  </si>
  <si>
    <t>各レジスタレイアウトシート</t>
  </si>
  <si>
    <t>Form</t>
  </si>
  <si>
    <t>各レジスタレイアウトシート追加のためのベースとなるシート</t>
  </si>
  <si>
    <t>新しくレジスタレイアウトシートを追加するときは、
左のボタンをクリック！</t>
  </si>
  <si>
    <t>レジスタの番号振り直しは、マクロの実行で</t>
  </si>
  <si>
    <t>「再ナンバリング」を実行！！</t>
  </si>
  <si>
    <t>D0000</t>
  </si>
  <si>
    <t>～</t>
  </si>
  <si>
    <t>D0009</t>
  </si>
  <si>
    <t>D0010</t>
  </si>
  <si>
    <t>D0019</t>
  </si>
  <si>
    <t>D0029</t>
  </si>
  <si>
    <t>D0039</t>
  </si>
  <si>
    <t>D0040</t>
  </si>
  <si>
    <t>D0049</t>
  </si>
  <si>
    <t>D0050</t>
  </si>
  <si>
    <t>D0059</t>
  </si>
  <si>
    <t>D0069</t>
  </si>
  <si>
    <t>D0070</t>
  </si>
  <si>
    <t>D0079</t>
  </si>
  <si>
    <t>D0080</t>
  </si>
  <si>
    <t>D0089</t>
  </si>
  <si>
    <t>D0090</t>
  </si>
  <si>
    <t>D0099</t>
  </si>
  <si>
    <t>D0100</t>
  </si>
  <si>
    <t>D0109</t>
  </si>
  <si>
    <t>D0110</t>
  </si>
  <si>
    <t>D0119</t>
  </si>
  <si>
    <t>D0120</t>
  </si>
  <si>
    <t>D0129</t>
  </si>
  <si>
    <t>D0130</t>
  </si>
  <si>
    <t>D0139</t>
  </si>
  <si>
    <t>D0140</t>
  </si>
  <si>
    <t>D0149</t>
  </si>
  <si>
    <t>D0150</t>
  </si>
  <si>
    <t>D0159</t>
  </si>
  <si>
    <t>D0160</t>
  </si>
  <si>
    <t>D0169</t>
  </si>
  <si>
    <t>D0170</t>
  </si>
  <si>
    <t>D0179</t>
  </si>
  <si>
    <t>D0180</t>
  </si>
  <si>
    <t>D0189</t>
  </si>
  <si>
    <t>D0190</t>
  </si>
  <si>
    <t>D0199</t>
  </si>
  <si>
    <t>D0200</t>
  </si>
  <si>
    <t>D0209</t>
  </si>
  <si>
    <t>D0210</t>
  </si>
  <si>
    <t>D0219</t>
  </si>
  <si>
    <t>D0220</t>
  </si>
  <si>
    <t>D0229</t>
  </si>
  <si>
    <t>D0230</t>
  </si>
  <si>
    <t>D0239</t>
  </si>
  <si>
    <t>D0240</t>
  </si>
  <si>
    <t>D0249</t>
  </si>
  <si>
    <t>D0250</t>
  </si>
  <si>
    <t>D0259</t>
  </si>
  <si>
    <t>D0260</t>
  </si>
  <si>
    <t>D0269</t>
  </si>
  <si>
    <t>D0270</t>
  </si>
  <si>
    <t>D0279</t>
  </si>
  <si>
    <t>D0280</t>
  </si>
  <si>
    <t>D0289</t>
  </si>
  <si>
    <t>D0290</t>
  </si>
  <si>
    <t>D0299</t>
  </si>
  <si>
    <t>D0300</t>
  </si>
  <si>
    <t>D0309</t>
  </si>
  <si>
    <t>D0310</t>
  </si>
  <si>
    <t>D0319</t>
  </si>
  <si>
    <t>D0320</t>
  </si>
  <si>
    <t>D0329</t>
  </si>
  <si>
    <t>D0330</t>
  </si>
  <si>
    <t>D0339</t>
  </si>
  <si>
    <t>D0340</t>
  </si>
  <si>
    <t>D0349</t>
  </si>
  <si>
    <t>D0350</t>
  </si>
  <si>
    <t>D0359</t>
  </si>
  <si>
    <t>D0360</t>
  </si>
  <si>
    <t>D0369</t>
  </si>
  <si>
    <t>D0370</t>
  </si>
  <si>
    <t>D0379</t>
  </si>
  <si>
    <t>D0380</t>
  </si>
  <si>
    <t>D0389</t>
  </si>
  <si>
    <t>D0390</t>
  </si>
  <si>
    <t>D0399</t>
  </si>
  <si>
    <t>←概要へｼﾞｬﾝﾌﾟ</t>
  </si>
  <si>
    <t>ﾚｼﾞｽﾀ</t>
  </si>
  <si>
    <t>名　称</t>
  </si>
  <si>
    <t>上位</t>
  </si>
  <si>
    <t>ビ　ッ　ト　構　成</t>
  </si>
  <si>
    <t>下位</t>
  </si>
  <si>
    <t>備　　考</t>
  </si>
  <si>
    <t>15</t>
  </si>
  <si>
    <t>14</t>
  </si>
  <si>
    <t>13</t>
  </si>
  <si>
    <t>12</t>
  </si>
  <si>
    <t>11</t>
  </si>
  <si>
    <t>10</t>
  </si>
  <si>
    <t>09</t>
  </si>
  <si>
    <t>08</t>
  </si>
  <si>
    <t>07</t>
  </si>
  <si>
    <t>06</t>
  </si>
  <si>
    <t>05</t>
  </si>
  <si>
    <t>04</t>
  </si>
  <si>
    <t>03</t>
  </si>
  <si>
    <t>02</t>
  </si>
  <si>
    <t>01</t>
  </si>
  <si>
    <t>00</t>
  </si>
  <si>
    <t>D0XX0</t>
  </si>
  <si>
    <t>D0XX1</t>
  </si>
  <si>
    <t>D0XX2</t>
  </si>
  <si>
    <t>D0XX3</t>
  </si>
  <si>
    <t>D0XX4</t>
  </si>
  <si>
    <t>D0XX5</t>
  </si>
  <si>
    <t>D0XX6</t>
  </si>
  <si>
    <t>D0XX7</t>
  </si>
  <si>
    <t>D0XX8</t>
  </si>
  <si>
    <t>D0XX9</t>
  </si>
  <si>
    <t xml:space="preserve">  Remarks;</t>
  </si>
  <si>
    <t>｜</t>
    <phoneticPr fontId="17"/>
  </si>
  <si>
    <t>↓</t>
    <phoneticPr fontId="17"/>
  </si>
  <si>
    <t>D0001</t>
  </si>
  <si>
    <t>D0002</t>
  </si>
  <si>
    <t>D0003</t>
  </si>
  <si>
    <t>D0004</t>
  </si>
  <si>
    <t>D0005</t>
  </si>
  <si>
    <t>D0006</t>
  </si>
  <si>
    <t>D0007</t>
  </si>
  <si>
    <t>D0008</t>
  </si>
  <si>
    <t>異常</t>
    <rPh sb="0" eb="2">
      <t>イジョウ</t>
    </rPh>
    <phoneticPr fontId="17"/>
  </si>
  <si>
    <t>自動/</t>
    <rPh sb="0" eb="2">
      <t>ジドウ</t>
    </rPh>
    <phoneticPr fontId="17"/>
  </si>
  <si>
    <t>ステータス</t>
    <phoneticPr fontId="17"/>
  </si>
  <si>
    <t>手動</t>
    <rPh sb="0" eb="2">
      <t>シュドウ</t>
    </rPh>
    <phoneticPr fontId="17"/>
  </si>
  <si>
    <t>〃</t>
    <phoneticPr fontId="17"/>
  </si>
  <si>
    <t>アラームコード</t>
    <phoneticPr fontId="17"/>
  </si>
  <si>
    <t>ＢＣＤコード</t>
    <phoneticPr fontId="17"/>
  </si>
  <si>
    <t>ステータス</t>
    <phoneticPr fontId="17"/>
  </si>
  <si>
    <t>予  備</t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</si>
  <si>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0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</si>
  <si>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1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</si>
  <si>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2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</si>
  <si>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3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</si>
  <si>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4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</si>
  <si>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5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</si>
  <si>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6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</si>
  <si>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7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</si>
  <si>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8</t>
    </r>
    <phoneticPr fontId="18"/>
  </si>
  <si>
    <r>
      <t>D00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9</t>
    </r>
    <phoneticPr fontId="18"/>
  </si>
  <si>
    <t>〃</t>
    <phoneticPr fontId="18"/>
  </si>
  <si>
    <t>該当状態で１</t>
    <rPh sb="0" eb="2">
      <t>ガイトウ</t>
    </rPh>
    <rPh sb="2" eb="4">
      <t>ジョウタイ</t>
    </rPh>
    <phoneticPr fontId="18"/>
  </si>
  <si>
    <t>ステータス</t>
    <phoneticPr fontId="18"/>
  </si>
  <si>
    <t>異常</t>
    <rPh sb="0" eb="2">
      <t>イジョウ</t>
    </rPh>
    <phoneticPr fontId="18"/>
  </si>
  <si>
    <t>BCDコード</t>
    <phoneticPr fontId="1"/>
  </si>
  <si>
    <t>アラームコード</t>
    <phoneticPr fontId="18"/>
  </si>
  <si>
    <t>D0153</t>
  </si>
  <si>
    <t>D0154</t>
  </si>
  <si>
    <t>D0155</t>
  </si>
  <si>
    <t>D0156</t>
  </si>
  <si>
    <t>D0157</t>
  </si>
  <si>
    <t>D0158</t>
  </si>
  <si>
    <t>動作完了</t>
    <rPh sb="0" eb="2">
      <t>ドウサ</t>
    </rPh>
    <rPh sb="2" eb="4">
      <t>カンリョウ</t>
    </rPh>
    <phoneticPr fontId="18"/>
  </si>
  <si>
    <t>完了</t>
    <rPh sb="0" eb="2">
      <t>カンリョウ</t>
    </rPh>
    <phoneticPr fontId="18"/>
  </si>
  <si>
    <t>読込</t>
    <rPh sb="0" eb="2">
      <t>ヨミコミ</t>
    </rPh>
    <phoneticPr fontId="17"/>
  </si>
  <si>
    <t>ﾌﾗｸﾞ</t>
    <phoneticPr fontId="17"/>
  </si>
  <si>
    <t>D0203</t>
  </si>
  <si>
    <t>D0204</t>
  </si>
  <si>
    <t>D0205</t>
  </si>
  <si>
    <t>D0206</t>
  </si>
  <si>
    <t>D0207</t>
  </si>
  <si>
    <t>D0208</t>
  </si>
  <si>
    <t>D0211</t>
  </si>
  <si>
    <t>D0212</t>
  </si>
  <si>
    <t>D0213</t>
  </si>
  <si>
    <t>D0214</t>
  </si>
  <si>
    <t>D0215</t>
  </si>
  <si>
    <t>D0216</t>
  </si>
  <si>
    <t>D0217</t>
  </si>
  <si>
    <t>D0218</t>
  </si>
  <si>
    <t>D0223</t>
  </si>
  <si>
    <t>D0224</t>
  </si>
  <si>
    <t>D0225</t>
  </si>
  <si>
    <t>D0226</t>
  </si>
  <si>
    <t>D0227</t>
  </si>
  <si>
    <t>D0228</t>
  </si>
  <si>
    <t>ｸﾘｱ</t>
    <phoneticPr fontId="18"/>
  </si>
  <si>
    <t>在席</t>
    <rPh sb="0" eb="2">
      <t>ザイセキ</t>
    </rPh>
    <phoneticPr fontId="18"/>
  </si>
  <si>
    <t>動作</t>
    <rPh sb="0" eb="2">
      <t>ドウサ</t>
    </rPh>
    <phoneticPr fontId="18"/>
  </si>
  <si>
    <t>完了ステーション</t>
    <rPh sb="0" eb="2">
      <t>カンリョウ</t>
    </rPh>
    <phoneticPr fontId="17"/>
  </si>
  <si>
    <t>書込</t>
    <rPh sb="0" eb="2">
      <t>カキコ</t>
    </rPh>
    <phoneticPr fontId="18"/>
  </si>
  <si>
    <t>作業指示</t>
    <rPh sb="0" eb="2">
      <t>サギョウ</t>
    </rPh>
    <rPh sb="2" eb="4">
      <t>シジ</t>
    </rPh>
    <phoneticPr fontId="18"/>
  </si>
  <si>
    <t>ﾌﾗｸﾞ</t>
    <phoneticPr fontId="18"/>
  </si>
  <si>
    <t>D0400</t>
  </si>
  <si>
    <t>D0401</t>
  </si>
  <si>
    <t>D0402</t>
  </si>
  <si>
    <t>D0403</t>
  </si>
  <si>
    <t>D0404</t>
  </si>
  <si>
    <t>D0405</t>
  </si>
  <si>
    <t>D0406</t>
  </si>
  <si>
    <t>D0407</t>
  </si>
  <si>
    <t>D0408</t>
  </si>
  <si>
    <t>D0409</t>
  </si>
  <si>
    <t>D0410</t>
  </si>
  <si>
    <t>D0411</t>
  </si>
  <si>
    <t>D0412</t>
  </si>
  <si>
    <t>D0413</t>
  </si>
  <si>
    <t>D0414</t>
  </si>
  <si>
    <t>D0415</t>
  </si>
  <si>
    <t>D0416</t>
  </si>
  <si>
    <t>D0417</t>
  </si>
  <si>
    <t>D0418</t>
  </si>
  <si>
    <t>D0419</t>
  </si>
  <si>
    <t>D0420</t>
  </si>
  <si>
    <t>D0421</t>
  </si>
  <si>
    <t>D0422</t>
  </si>
  <si>
    <t>D0423</t>
  </si>
  <si>
    <t>D0424</t>
  </si>
  <si>
    <t>D0425</t>
  </si>
  <si>
    <t>D0426</t>
  </si>
  <si>
    <t>D0427</t>
  </si>
  <si>
    <t>D0428</t>
  </si>
  <si>
    <t>D0429</t>
  </si>
  <si>
    <t>D0430</t>
  </si>
  <si>
    <t>D0431</t>
  </si>
  <si>
    <t>D0432</t>
  </si>
  <si>
    <t>D0433</t>
  </si>
  <si>
    <t>D0434</t>
  </si>
  <si>
    <t>D0435</t>
  </si>
  <si>
    <t>D0436</t>
  </si>
  <si>
    <t>D0437</t>
  </si>
  <si>
    <t>D0438</t>
  </si>
  <si>
    <t>D0439</t>
  </si>
  <si>
    <t>D0440</t>
  </si>
  <si>
    <t>D0441</t>
  </si>
  <si>
    <t>D0442</t>
  </si>
  <si>
    <t>D0443</t>
  </si>
  <si>
    <t>D0444</t>
  </si>
  <si>
    <t>D0445</t>
  </si>
  <si>
    <t>D0446</t>
  </si>
  <si>
    <t>D0447</t>
  </si>
  <si>
    <t>D0448</t>
  </si>
  <si>
    <t>D0449</t>
  </si>
  <si>
    <t>D0450</t>
  </si>
  <si>
    <t>D0451</t>
  </si>
  <si>
    <t>D0452</t>
  </si>
  <si>
    <t>D0453</t>
  </si>
  <si>
    <t>D0454</t>
  </si>
  <si>
    <t>D0455</t>
  </si>
  <si>
    <t>D0456</t>
  </si>
  <si>
    <t>D0457</t>
  </si>
  <si>
    <t>D0458</t>
  </si>
  <si>
    <t>D0459</t>
  </si>
  <si>
    <t>D0460</t>
  </si>
  <si>
    <t>D0461</t>
  </si>
  <si>
    <t>D0462</t>
  </si>
  <si>
    <t>D0463</t>
  </si>
  <si>
    <t>D0464</t>
  </si>
  <si>
    <t>D0465</t>
  </si>
  <si>
    <t>D0466</t>
  </si>
  <si>
    <t>D0467</t>
  </si>
  <si>
    <t>D0468</t>
  </si>
  <si>
    <t>D0469</t>
  </si>
  <si>
    <t>D0470</t>
  </si>
  <si>
    <t>D0471</t>
  </si>
  <si>
    <t>D0472</t>
  </si>
  <si>
    <t>D0473</t>
  </si>
  <si>
    <t>D0474</t>
  </si>
  <si>
    <t>D0475</t>
  </si>
  <si>
    <t>D0476</t>
  </si>
  <si>
    <t>D0477</t>
  </si>
  <si>
    <t>D0478</t>
  </si>
  <si>
    <t>D0479</t>
  </si>
  <si>
    <t>D0480</t>
  </si>
  <si>
    <t>D0481</t>
  </si>
  <si>
    <t>D0482</t>
  </si>
  <si>
    <t>D0483</t>
  </si>
  <si>
    <t>D0484</t>
  </si>
  <si>
    <t>D0485</t>
  </si>
  <si>
    <t>D0486</t>
  </si>
  <si>
    <t>D0487</t>
  </si>
  <si>
    <t>D0488</t>
  </si>
  <si>
    <t>D0489</t>
  </si>
  <si>
    <t>D0490</t>
  </si>
  <si>
    <t>D0491</t>
  </si>
  <si>
    <t>D0492</t>
  </si>
  <si>
    <t>D0493</t>
  </si>
  <si>
    <t>D0494</t>
  </si>
  <si>
    <t>D0495</t>
  </si>
  <si>
    <t>D0496</t>
  </si>
  <si>
    <t>D0497</t>
  </si>
  <si>
    <t>D0498</t>
  </si>
  <si>
    <t>D0499</t>
  </si>
  <si>
    <t>D0500</t>
  </si>
  <si>
    <t>D0501</t>
  </si>
  <si>
    <t>D0502</t>
  </si>
  <si>
    <t>D0503</t>
  </si>
  <si>
    <t>D0504</t>
  </si>
  <si>
    <t>D0505</t>
  </si>
  <si>
    <t>D0506</t>
  </si>
  <si>
    <t>D0507</t>
  </si>
  <si>
    <t>D0508</t>
  </si>
  <si>
    <t>D0509</t>
  </si>
  <si>
    <t>D0510</t>
  </si>
  <si>
    <t>D0511</t>
  </si>
  <si>
    <t>D0512</t>
  </si>
  <si>
    <t>D0513</t>
  </si>
  <si>
    <t>D0514</t>
  </si>
  <si>
    <t>D0515</t>
  </si>
  <si>
    <t>D0516</t>
  </si>
  <si>
    <t>D0517</t>
  </si>
  <si>
    <t>D0518</t>
  </si>
  <si>
    <t>D0519</t>
  </si>
  <si>
    <t>第１作業ステーション</t>
    <rPh sb="0" eb="2">
      <t>ダイイチ</t>
    </rPh>
    <rPh sb="2" eb="4">
      <t>サギョウ</t>
    </rPh>
    <phoneticPr fontId="17"/>
  </si>
  <si>
    <t>BCDコード</t>
    <phoneticPr fontId="1"/>
  </si>
  <si>
    <t>〃</t>
    <phoneticPr fontId="18"/>
  </si>
  <si>
    <t>第２作業ステーション</t>
    <rPh sb="0" eb="1">
      <t>ダイ</t>
    </rPh>
    <rPh sb="2" eb="4">
      <t>サギョウ</t>
    </rPh>
    <phoneticPr fontId="17"/>
  </si>
  <si>
    <t>〃</t>
    <phoneticPr fontId="18"/>
  </si>
  <si>
    <t>第３作業ステーション</t>
    <rPh sb="0" eb="1">
      <t>ダイ</t>
    </rPh>
    <rPh sb="2" eb="4">
      <t>サギョウ</t>
    </rPh>
    <phoneticPr fontId="17"/>
  </si>
  <si>
    <t>第４作業ステーション</t>
    <rPh sb="0" eb="1">
      <t>ダイ</t>
    </rPh>
    <rPh sb="2" eb="4">
      <t>サギョウ</t>
    </rPh>
    <phoneticPr fontId="17"/>
  </si>
  <si>
    <t>ﾚｼﾞｽﾀ＼PLC</t>
    <phoneticPr fontId="17"/>
  </si>
  <si>
    <t>D0409</t>
    <phoneticPr fontId="17"/>
  </si>
  <si>
    <t>D0419</t>
    <phoneticPr fontId="17"/>
  </si>
  <si>
    <t>D0429</t>
    <phoneticPr fontId="17"/>
  </si>
  <si>
    <t>D0439</t>
    <phoneticPr fontId="17"/>
  </si>
  <si>
    <t>D0449</t>
    <phoneticPr fontId="17"/>
  </si>
  <si>
    <t>D0459</t>
    <phoneticPr fontId="17"/>
  </si>
  <si>
    <t>D0469</t>
    <phoneticPr fontId="17"/>
  </si>
  <si>
    <t>D0479</t>
    <phoneticPr fontId="17"/>
  </si>
  <si>
    <t>D0489</t>
    <phoneticPr fontId="17"/>
  </si>
  <si>
    <t>D0499</t>
    <phoneticPr fontId="17"/>
  </si>
  <si>
    <t>D0509</t>
    <phoneticPr fontId="17"/>
  </si>
  <si>
    <t>D0519</t>
    <phoneticPr fontId="17"/>
  </si>
  <si>
    <t>D0529</t>
    <phoneticPr fontId="17"/>
  </si>
  <si>
    <t>D0539</t>
    <phoneticPr fontId="17"/>
  </si>
  <si>
    <t>D0549</t>
    <phoneticPr fontId="17"/>
  </si>
  <si>
    <t>シャトルステータス</t>
    <phoneticPr fontId="17"/>
  </si>
  <si>
    <t>タイマ監視</t>
    <rPh sb="3" eb="5">
      <t>カンシ</t>
    </rPh>
    <phoneticPr fontId="17"/>
  </si>
  <si>
    <t>ﾌﾗｸﾞ</t>
    <phoneticPr fontId="17"/>
  </si>
  <si>
    <t>フラグ</t>
    <phoneticPr fontId="17"/>
  </si>
  <si>
    <t>ＣＰＵ稼動</t>
    <rPh sb="3" eb="5">
      <t>カドウ</t>
    </rPh>
    <phoneticPr fontId="17"/>
  </si>
  <si>
    <t>ﾌﾗｸﾞ</t>
    <phoneticPr fontId="17"/>
  </si>
  <si>
    <t>フラグ</t>
    <phoneticPr fontId="17"/>
  </si>
  <si>
    <t>伝送テスト</t>
    <rPh sb="0" eb="2">
      <t>デンソウ</t>
    </rPh>
    <phoneticPr fontId="18"/>
  </si>
  <si>
    <t>D0640</t>
    <phoneticPr fontId="17"/>
  </si>
  <si>
    <t>D0559</t>
    <phoneticPr fontId="17"/>
  </si>
  <si>
    <t>D0569</t>
    <phoneticPr fontId="17"/>
  </si>
  <si>
    <t>D0579</t>
    <phoneticPr fontId="17"/>
  </si>
  <si>
    <t>D0589</t>
    <phoneticPr fontId="17"/>
  </si>
  <si>
    <t>D0599</t>
    <phoneticPr fontId="17"/>
  </si>
  <si>
    <t>D0609</t>
    <phoneticPr fontId="17"/>
  </si>
  <si>
    <t>D0619</t>
    <phoneticPr fontId="17"/>
  </si>
  <si>
    <t>D0629</t>
    <phoneticPr fontId="17"/>
  </si>
  <si>
    <t>D0639</t>
    <phoneticPr fontId="17"/>
  </si>
  <si>
    <t>D0649</t>
    <phoneticPr fontId="17"/>
  </si>
  <si>
    <t>D0659</t>
    <phoneticPr fontId="17"/>
  </si>
  <si>
    <t>D0669</t>
    <phoneticPr fontId="17"/>
  </si>
  <si>
    <t>D0679</t>
    <phoneticPr fontId="17"/>
  </si>
  <si>
    <t>D0689</t>
    <phoneticPr fontId="17"/>
  </si>
  <si>
    <t>指示  受入可</t>
    <rPh sb="0" eb="2">
      <t>シジ</t>
    </rPh>
    <rPh sb="4" eb="6">
      <t>ウケイ</t>
    </rPh>
    <rPh sb="6" eb="7">
      <t>カ</t>
    </rPh>
    <phoneticPr fontId="1"/>
  </si>
  <si>
    <t>運転モード</t>
    <rPh sb="0" eb="2">
      <t>ウンテン</t>
    </rPh>
    <phoneticPr fontId="1"/>
  </si>
  <si>
    <t>異常</t>
    <rPh sb="0" eb="2">
      <t>イジョウ</t>
    </rPh>
    <phoneticPr fontId="1"/>
  </si>
  <si>
    <t>ステータス</t>
    <phoneticPr fontId="1"/>
  </si>
  <si>
    <t>自動</t>
    <rPh sb="0" eb="2">
      <t>ジドウ</t>
    </rPh>
    <phoneticPr fontId="1"/>
  </si>
  <si>
    <t>手動</t>
    <rPh sb="0" eb="2">
      <t>シュドウ</t>
    </rPh>
    <phoneticPr fontId="1"/>
  </si>
  <si>
    <t>遠隔</t>
    <rPh sb="0" eb="2">
      <t>エンカク</t>
    </rPh>
    <phoneticPr fontId="1"/>
  </si>
  <si>
    <t>ステータス</t>
    <phoneticPr fontId="1"/>
  </si>
  <si>
    <t>〃</t>
    <phoneticPr fontId="1"/>
  </si>
  <si>
    <t>作業No.</t>
    <rPh sb="0" eb="2">
      <t>サギョウ</t>
    </rPh>
    <phoneticPr fontId="1"/>
  </si>
  <si>
    <t>BCDコード</t>
    <phoneticPr fontId="1"/>
  </si>
  <si>
    <t>サーバNo.1</t>
    <phoneticPr fontId="18"/>
  </si>
  <si>
    <t>サーバNo.2</t>
    <phoneticPr fontId="18"/>
  </si>
  <si>
    <t>BCDコード</t>
    <phoneticPr fontId="1"/>
  </si>
  <si>
    <t>作業指示</t>
    <rPh sb="0" eb="2">
      <t>サギョウ</t>
    </rPh>
    <rPh sb="2" eb="4">
      <t>シジ</t>
    </rPh>
    <phoneticPr fontId="1"/>
  </si>
  <si>
    <t>〃</t>
    <phoneticPr fontId="1"/>
  </si>
  <si>
    <t>ｆｒｏｍロケーション（列／ＳＴ）</t>
    <rPh sb="11" eb="12">
      <t>レツ</t>
    </rPh>
    <phoneticPr fontId="1"/>
  </si>
  <si>
    <t>ｔｏロケーション（列／ＳＴ）</t>
    <rPh sb="9" eb="10">
      <t>レツ</t>
    </rPh>
    <phoneticPr fontId="1"/>
  </si>
  <si>
    <t>書込  ﾌﾗｸﾞ</t>
    <rPh sb="0" eb="1">
      <t>カ</t>
    </rPh>
    <rPh sb="1" eb="2">
      <t>ヨミコ</t>
    </rPh>
    <phoneticPr fontId="1"/>
  </si>
  <si>
    <t>該当状態で１</t>
    <phoneticPr fontId="18"/>
  </si>
  <si>
    <t>アラームコード</t>
    <phoneticPr fontId="17"/>
  </si>
  <si>
    <t>BCDコード</t>
    <phoneticPr fontId="1"/>
  </si>
  <si>
    <t>アラームコード</t>
    <phoneticPr fontId="18"/>
  </si>
  <si>
    <t>※棚に対しての動作完了の場合、完了ステーションはオール０とする。</t>
    <rPh sb="1" eb="2">
      <t>タナ</t>
    </rPh>
    <rPh sb="3" eb="4">
      <t>タイ</t>
    </rPh>
    <rPh sb="7" eb="9">
      <t>ドウサ</t>
    </rPh>
    <rPh sb="9" eb="11">
      <t>カンリョウ</t>
    </rPh>
    <rPh sb="12" eb="14">
      <t>バアイ</t>
    </rPh>
    <rPh sb="15" eb="17">
      <t>カンリョウ</t>
    </rPh>
    <phoneticPr fontId="18"/>
  </si>
  <si>
    <t>第1作業指示</t>
    <rPh sb="0" eb="1">
      <t>ダイ</t>
    </rPh>
    <rPh sb="2" eb="4">
      <t>サギョウ</t>
    </rPh>
    <rPh sb="4" eb="6">
      <t>シジ</t>
    </rPh>
    <phoneticPr fontId="18"/>
  </si>
  <si>
    <t>第2作業指示</t>
    <rPh sb="0" eb="1">
      <t>ダイ</t>
    </rPh>
    <rPh sb="2" eb="4">
      <t>サギョウ</t>
    </rPh>
    <rPh sb="4" eb="6">
      <t>シジ</t>
    </rPh>
    <phoneticPr fontId="18"/>
  </si>
  <si>
    <t>作業指示 ”０１”：荷取  ”１０”：荷置  ”１１”：移動</t>
    <phoneticPr fontId="18"/>
  </si>
  <si>
    <t>ｆｒｏｍロケーション（連）</t>
    <rPh sb="11" eb="12">
      <t>レン</t>
    </rPh>
    <phoneticPr fontId="18"/>
  </si>
  <si>
    <t>ｆｒｏｍロケーション（段）</t>
    <rPh sb="11" eb="12">
      <t>ダン</t>
    </rPh>
    <phoneticPr fontId="18"/>
  </si>
  <si>
    <t>ｆｒｏｍロケーション（ケース幅【ｍｍ】）</t>
    <rPh sb="14" eb="15">
      <t>ハバ</t>
    </rPh>
    <phoneticPr fontId="1"/>
  </si>
  <si>
    <t>ｆｒｏｍロケーション（基準位置【ｍｍ】）</t>
    <rPh sb="11" eb="13">
      <t>キジュン</t>
    </rPh>
    <rPh sb="13" eb="15">
      <t>イチ</t>
    </rPh>
    <phoneticPr fontId="1"/>
  </si>
  <si>
    <t>ｔｏロケーション（連）</t>
    <rPh sb="9" eb="10">
      <t>レン</t>
    </rPh>
    <phoneticPr fontId="18"/>
  </si>
  <si>
    <t>ｔｏロケーション（段）</t>
    <rPh sb="9" eb="10">
      <t>ダン</t>
    </rPh>
    <phoneticPr fontId="18"/>
  </si>
  <si>
    <t>ｔｏロケーション（ケース幅【ｍｍ】）</t>
    <rPh sb="12" eb="13">
      <t>ハバ</t>
    </rPh>
    <phoneticPr fontId="1"/>
  </si>
  <si>
    <t>ｔｏロケーション（基準位置【ｍｍ】）</t>
    <rPh sb="9" eb="11">
      <t>キジュン</t>
    </rPh>
    <rPh sb="11" eb="13">
      <t>イチ</t>
    </rPh>
    <phoneticPr fontId="1"/>
  </si>
  <si>
    <t>サーバNo.1</t>
    <phoneticPr fontId="18"/>
  </si>
  <si>
    <t>第3作業指示</t>
    <rPh sb="0" eb="1">
      <t>ダイ</t>
    </rPh>
    <rPh sb="2" eb="4">
      <t>サギョウ</t>
    </rPh>
    <rPh sb="4" eb="6">
      <t>シジ</t>
    </rPh>
    <phoneticPr fontId="18"/>
  </si>
  <si>
    <t>第4作業指示</t>
    <rPh sb="0" eb="1">
      <t>ダイ</t>
    </rPh>
    <rPh sb="2" eb="4">
      <t>サギョウ</t>
    </rPh>
    <rPh sb="4" eb="6">
      <t>シジ</t>
    </rPh>
    <phoneticPr fontId="18"/>
  </si>
  <si>
    <t>サーバNo.2</t>
    <phoneticPr fontId="18"/>
  </si>
  <si>
    <t>D0400</t>
    <phoneticPr fontId="17"/>
  </si>
  <si>
    <t>D0410</t>
    <phoneticPr fontId="17"/>
  </si>
  <si>
    <t>D0420</t>
    <phoneticPr fontId="17"/>
  </si>
  <si>
    <t>D0430</t>
    <phoneticPr fontId="17"/>
  </si>
  <si>
    <t>D0440</t>
    <phoneticPr fontId="17"/>
  </si>
  <si>
    <t>D0450</t>
    <phoneticPr fontId="17"/>
  </si>
  <si>
    <t>D0460</t>
    <phoneticPr fontId="17"/>
  </si>
  <si>
    <t>D0470</t>
    <phoneticPr fontId="17"/>
  </si>
  <si>
    <t>D0480</t>
    <phoneticPr fontId="17"/>
  </si>
  <si>
    <t>D0490</t>
    <phoneticPr fontId="17"/>
  </si>
  <si>
    <t>D0500</t>
    <phoneticPr fontId="17"/>
  </si>
  <si>
    <t>D0510</t>
    <phoneticPr fontId="17"/>
  </si>
  <si>
    <t>D0520</t>
    <phoneticPr fontId="17"/>
  </si>
  <si>
    <t>D0530</t>
    <phoneticPr fontId="17"/>
  </si>
  <si>
    <t>作業種別</t>
    <rPh sb="0" eb="2">
      <t>サギョウ</t>
    </rPh>
    <rPh sb="2" eb="4">
      <t>シュベツ</t>
    </rPh>
    <phoneticPr fontId="1"/>
  </si>
  <si>
    <t>BCDコード</t>
    <phoneticPr fontId="1"/>
  </si>
  <si>
    <t>ﾏﾙﾁ化
対応
ﾌﾗｸﾞ</t>
    <rPh sb="3" eb="4">
      <t>カ</t>
    </rPh>
    <rPh sb="5" eb="7">
      <t>タイオウ</t>
    </rPh>
    <phoneticPr fontId="1"/>
  </si>
  <si>
    <t>棚満</t>
    <rPh sb="0" eb="1">
      <t>タナ</t>
    </rPh>
    <rPh sb="1" eb="2">
      <t>マン</t>
    </rPh>
    <phoneticPr fontId="18"/>
  </si>
  <si>
    <t>ﾌｫｰｸ
ﾐｽ</t>
    <phoneticPr fontId="18"/>
  </si>
  <si>
    <t>D0600</t>
    <phoneticPr fontId="17"/>
  </si>
  <si>
    <t>D0550</t>
    <phoneticPr fontId="17"/>
  </si>
  <si>
    <t>レジスタ概要</t>
    <phoneticPr fontId="17"/>
  </si>
  <si>
    <t>D0780</t>
  </si>
  <si>
    <t>D0781</t>
  </si>
  <si>
    <t>D0782</t>
  </si>
  <si>
    <t>D0783</t>
  </si>
  <si>
    <t>D0784</t>
  </si>
  <si>
    <t>D0785</t>
  </si>
  <si>
    <t>D0786</t>
  </si>
  <si>
    <t>D0787</t>
  </si>
  <si>
    <t>D0788</t>
  </si>
  <si>
    <t>D0789</t>
  </si>
  <si>
    <t>D0780</t>
    <phoneticPr fontId="17"/>
  </si>
  <si>
    <t>D0670</t>
    <phoneticPr fontId="17"/>
  </si>
  <si>
    <t>D0680</t>
    <phoneticPr fontId="17"/>
  </si>
  <si>
    <t>D0690</t>
    <phoneticPr fontId="17"/>
  </si>
  <si>
    <t>D0700</t>
    <phoneticPr fontId="17"/>
  </si>
  <si>
    <t>D0710</t>
    <phoneticPr fontId="17"/>
  </si>
  <si>
    <t>D0720</t>
    <phoneticPr fontId="17"/>
  </si>
  <si>
    <t>D0730</t>
    <phoneticPr fontId="17"/>
  </si>
  <si>
    <t>D0740</t>
    <phoneticPr fontId="17"/>
  </si>
  <si>
    <t>D0750</t>
    <phoneticPr fontId="17"/>
  </si>
  <si>
    <t>D0760</t>
    <phoneticPr fontId="17"/>
  </si>
  <si>
    <t>fromロケ（間口）</t>
    <rPh sb="7" eb="9">
      <t>マグチ</t>
    </rPh>
    <phoneticPr fontId="18"/>
  </si>
  <si>
    <t>fromロケ（棚属性）</t>
    <rPh sb="7" eb="8">
      <t>タナ</t>
    </rPh>
    <rPh sb="8" eb="10">
      <t>ゾクセイ</t>
    </rPh>
    <phoneticPr fontId="18"/>
  </si>
  <si>
    <t>fromロケ（ｹｰｽｻｲｽﾞ）</t>
    <phoneticPr fontId="18"/>
  </si>
  <si>
    <t>toロケ（間口）</t>
    <rPh sb="5" eb="7">
      <t>マグチ</t>
    </rPh>
    <phoneticPr fontId="18"/>
  </si>
  <si>
    <t>toロケ（棚属性）</t>
    <rPh sb="5" eb="6">
      <t>タナ</t>
    </rPh>
    <rPh sb="6" eb="8">
      <t>ゾクセイ</t>
    </rPh>
    <phoneticPr fontId="18"/>
  </si>
  <si>
    <t>toロケ（ｹｰｽｻｲｽﾞ）</t>
    <phoneticPr fontId="18"/>
  </si>
  <si>
    <t>棚属性／ケースサイズ　【１】：ＬＬ　【２】：Ｌ　【３】：Ｍ　【４】：Ｓ　【５】：ＳＳ</t>
    <rPh sb="0" eb="1">
      <t>タナ</t>
    </rPh>
    <rPh sb="1" eb="3">
      <t>ゾクセイ</t>
    </rPh>
    <phoneticPr fontId="18"/>
  </si>
  <si>
    <t>ＣＰＵ異常</t>
    <rPh sb="3" eb="5">
      <t>イジョウ</t>
    </rPh>
    <phoneticPr fontId="17"/>
  </si>
  <si>
    <t>出力要求</t>
    <rPh sb="0" eb="2">
      <t>シュツリョク</t>
    </rPh>
    <rPh sb="2" eb="4">
      <t>ヨウキュウ</t>
    </rPh>
    <phoneticPr fontId="17"/>
  </si>
  <si>
    <t>異常コード</t>
    <rPh sb="0" eb="2">
      <t>イジョウ</t>
    </rPh>
    <phoneticPr fontId="1"/>
  </si>
  <si>
    <t>荷取可</t>
    <rPh sb="0" eb="1">
      <t>ニ</t>
    </rPh>
    <rPh sb="1" eb="2">
      <t>トリ</t>
    </rPh>
    <rPh sb="2" eb="3">
      <t>カ</t>
    </rPh>
    <phoneticPr fontId="17"/>
  </si>
  <si>
    <t>荷置可</t>
    <rPh sb="0" eb="1">
      <t>ニ</t>
    </rPh>
    <rPh sb="1" eb="2">
      <t>オ</t>
    </rPh>
    <rPh sb="2" eb="3">
      <t>カ</t>
    </rPh>
    <phoneticPr fontId="17"/>
  </si>
  <si>
    <t>シャトルNo.1</t>
    <phoneticPr fontId="1"/>
  </si>
  <si>
    <t>シャトルNo.2</t>
    <phoneticPr fontId="17"/>
  </si>
  <si>
    <t>シャトルNo.3</t>
    <phoneticPr fontId="17"/>
  </si>
  <si>
    <t>シャトルNo.4</t>
    <phoneticPr fontId="17"/>
  </si>
  <si>
    <t>シャトルNo.5</t>
    <phoneticPr fontId="17"/>
  </si>
  <si>
    <t>シャトルNo.6</t>
    <phoneticPr fontId="17"/>
  </si>
  <si>
    <t>シャトルNo.1</t>
    <phoneticPr fontId="18"/>
  </si>
  <si>
    <t>シャトルNo.2</t>
    <phoneticPr fontId="18"/>
  </si>
  <si>
    <t>シャトルNo.3</t>
    <phoneticPr fontId="18"/>
  </si>
  <si>
    <t>シャトルNo.4</t>
    <phoneticPr fontId="18"/>
  </si>
  <si>
    <t>シャトルNo.5</t>
    <phoneticPr fontId="18"/>
  </si>
  <si>
    <t>シャトルNo.6</t>
    <phoneticPr fontId="18"/>
  </si>
  <si>
    <t>シャトルNo.2</t>
    <phoneticPr fontId="1"/>
  </si>
  <si>
    <t>シャトルNo.3</t>
    <phoneticPr fontId="1"/>
  </si>
  <si>
    <t>シャトルNo.4</t>
    <phoneticPr fontId="1"/>
  </si>
  <si>
    <t>シャトルNo.5</t>
    <phoneticPr fontId="1"/>
  </si>
  <si>
    <t>シャトルNo.6</t>
    <phoneticPr fontId="1"/>
  </si>
  <si>
    <t>D0323</t>
  </si>
  <si>
    <t>D0324</t>
  </si>
  <si>
    <t>D0325</t>
  </si>
  <si>
    <t>D0326</t>
  </si>
  <si>
    <t>D0327</t>
  </si>
  <si>
    <t>D0328</t>
  </si>
  <si>
    <t>到着</t>
    <rPh sb="0" eb="2">
      <t>トウチャク</t>
    </rPh>
    <phoneticPr fontId="18"/>
  </si>
  <si>
    <t>到着・離席</t>
    <rPh sb="0" eb="2">
      <t>トウチャク</t>
    </rPh>
    <rPh sb="3" eb="4">
      <t>ハナレ</t>
    </rPh>
    <rPh sb="4" eb="5">
      <t>セキ</t>
    </rPh>
    <phoneticPr fontId="17"/>
  </si>
  <si>
    <t>ﾌﾗｸﾞ</t>
    <phoneticPr fontId="17"/>
  </si>
  <si>
    <t>D0709</t>
    <phoneticPr fontId="17"/>
  </si>
  <si>
    <t>D0719</t>
    <phoneticPr fontId="17"/>
  </si>
  <si>
    <t>D0729</t>
    <phoneticPr fontId="17"/>
  </si>
  <si>
    <t>D0739</t>
    <phoneticPr fontId="17"/>
  </si>
  <si>
    <t>D0749</t>
    <phoneticPr fontId="17"/>
  </si>
  <si>
    <t>D0759</t>
    <phoneticPr fontId="17"/>
  </si>
  <si>
    <t>D0769</t>
    <phoneticPr fontId="17"/>
  </si>
  <si>
    <t>D0779</t>
    <phoneticPr fontId="17"/>
  </si>
  <si>
    <t>D0789</t>
    <phoneticPr fontId="17"/>
  </si>
  <si>
    <r>
      <t>D02</t>
    </r>
    <r>
      <rPr>
        <sz val="11"/>
        <rFont val="ＭＳ ゴシック"/>
        <family val="3"/>
        <charset val="128"/>
      </rPr>
      <t>3</t>
    </r>
    <r>
      <rPr>
        <sz val="11"/>
        <rFont val="ＭＳ ゴシック"/>
        <family val="3"/>
        <charset val="128"/>
      </rPr>
      <t>0</t>
    </r>
    <phoneticPr fontId="18"/>
  </si>
  <si>
    <r>
      <t>D02</t>
    </r>
    <r>
      <rPr>
        <sz val="11"/>
        <rFont val="ＭＳ ゴシック"/>
        <family val="3"/>
        <charset val="128"/>
      </rPr>
      <t>3</t>
    </r>
    <r>
      <rPr>
        <sz val="11"/>
        <rFont val="ＭＳ ゴシック"/>
        <family val="3"/>
        <charset val="128"/>
      </rPr>
      <t>1</t>
    </r>
    <phoneticPr fontId="18"/>
  </si>
  <si>
    <t>D0232</t>
  </si>
  <si>
    <t>D0233</t>
  </si>
  <si>
    <t>D0234</t>
  </si>
  <si>
    <t>D0235</t>
  </si>
  <si>
    <t>D0236</t>
  </si>
  <si>
    <t>D0237</t>
  </si>
  <si>
    <t>D0238</t>
  </si>
  <si>
    <r>
      <t>D05</t>
    </r>
    <r>
      <rPr>
        <sz val="11"/>
        <rFont val="ＭＳ ゴシック"/>
        <family val="3"/>
        <charset val="128"/>
      </rPr>
      <t>30</t>
    </r>
    <phoneticPr fontId="18"/>
  </si>
  <si>
    <r>
      <t>D05</t>
    </r>
    <r>
      <rPr>
        <sz val="11"/>
        <rFont val="ＭＳ ゴシック"/>
        <family val="3"/>
        <charset val="128"/>
      </rPr>
      <t>3</t>
    </r>
    <r>
      <rPr>
        <sz val="11"/>
        <rFont val="ＭＳ ゴシック"/>
        <family val="3"/>
        <charset val="128"/>
      </rPr>
      <t>1</t>
    </r>
    <phoneticPr fontId="18"/>
  </si>
  <si>
    <t>D0532</t>
  </si>
  <si>
    <t>D0533</t>
  </si>
  <si>
    <t>D0534</t>
  </si>
  <si>
    <t>D0535</t>
  </si>
  <si>
    <t>D0536</t>
  </si>
  <si>
    <t>D0537</t>
  </si>
  <si>
    <t>D0538</t>
  </si>
  <si>
    <t>D0539</t>
  </si>
  <si>
    <r>
      <t>D05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0</t>
    </r>
    <phoneticPr fontId="18"/>
  </si>
  <si>
    <r>
      <t>D05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1</t>
    </r>
    <phoneticPr fontId="18"/>
  </si>
  <si>
    <t>D0522</t>
  </si>
  <si>
    <t>D0523</t>
  </si>
  <si>
    <t>D0524</t>
  </si>
  <si>
    <t>D0525</t>
  </si>
  <si>
    <t>D0526</t>
  </si>
  <si>
    <t>D0527</t>
  </si>
  <si>
    <t>D0528</t>
  </si>
  <si>
    <t>D0529</t>
  </si>
  <si>
    <t>｜</t>
    <phoneticPr fontId="17"/>
  </si>
  <si>
    <t>D0560</t>
    <phoneticPr fontId="17"/>
  </si>
  <si>
    <t>D0570</t>
    <phoneticPr fontId="17"/>
  </si>
  <si>
    <t>D0580</t>
    <phoneticPr fontId="17"/>
  </si>
  <si>
    <t>D0590</t>
    <phoneticPr fontId="17"/>
  </si>
  <si>
    <t>D0650</t>
    <phoneticPr fontId="17"/>
  </si>
  <si>
    <t>D0660</t>
    <phoneticPr fontId="17"/>
  </si>
  <si>
    <t>D0630</t>
    <phoneticPr fontId="17"/>
  </si>
  <si>
    <t>D0620</t>
    <phoneticPr fontId="17"/>
  </si>
  <si>
    <t>シャトルNo.6</t>
    <phoneticPr fontId="1"/>
  </si>
  <si>
    <t>ＢＣＲ情報</t>
    <rPh sb="3" eb="5">
      <t>ジョウホウ</t>
    </rPh>
    <phoneticPr fontId="18"/>
  </si>
  <si>
    <t>〃</t>
  </si>
  <si>
    <r>
      <t>D07</t>
    </r>
    <r>
      <rPr>
        <sz val="11"/>
        <rFont val="ＭＳ ゴシック"/>
        <family val="3"/>
        <charset val="128"/>
      </rPr>
      <t>7</t>
    </r>
    <r>
      <rPr>
        <sz val="11"/>
        <rFont val="ＭＳ ゴシック"/>
        <family val="3"/>
        <charset val="128"/>
      </rPr>
      <t>0</t>
    </r>
    <phoneticPr fontId="18"/>
  </si>
  <si>
    <r>
      <t>D07</t>
    </r>
    <r>
      <rPr>
        <sz val="11"/>
        <rFont val="ＭＳ ゴシック"/>
        <family val="3"/>
        <charset val="128"/>
      </rPr>
      <t>7</t>
    </r>
    <r>
      <rPr>
        <sz val="11"/>
        <rFont val="ＭＳ ゴシック"/>
        <family val="3"/>
        <charset val="128"/>
      </rPr>
      <t>1</t>
    </r>
    <phoneticPr fontId="18"/>
  </si>
  <si>
    <t>D0772</t>
  </si>
  <si>
    <t>D0773</t>
  </si>
  <si>
    <t>D0774</t>
  </si>
  <si>
    <t>D0775</t>
  </si>
  <si>
    <t>D0776</t>
  </si>
  <si>
    <t>D0777</t>
  </si>
  <si>
    <t>D0778</t>
  </si>
  <si>
    <t>D0779</t>
  </si>
  <si>
    <t>D0770</t>
    <phoneticPr fontId="17"/>
  </si>
  <si>
    <t>ﾀｲﾏ監視,CPU,地震検知,伝送ﾃｽﾄ</t>
    <rPh sb="10" eb="12">
      <t>ジシン</t>
    </rPh>
    <rPh sb="12" eb="14">
      <t>ケンチ</t>
    </rPh>
    <phoneticPr fontId="17"/>
  </si>
  <si>
    <t>緊急地震速報</t>
    <rPh sb="0" eb="2">
      <t>キンキュウ</t>
    </rPh>
    <rPh sb="2" eb="4">
      <t>ジシン</t>
    </rPh>
    <rPh sb="4" eb="6">
      <t>ソクホウ</t>
    </rPh>
    <phoneticPr fontId="18"/>
  </si>
  <si>
    <t>地震大</t>
    <rPh sb="0" eb="2">
      <t>ジシン</t>
    </rPh>
    <rPh sb="2" eb="3">
      <t>ダイ</t>
    </rPh>
    <phoneticPr fontId="18"/>
  </si>
  <si>
    <t>地震小</t>
    <rPh sb="0" eb="2">
      <t>ジシン</t>
    </rPh>
    <rPh sb="2" eb="3">
      <t>ショウ</t>
    </rPh>
    <phoneticPr fontId="18"/>
  </si>
  <si>
    <t>火災</t>
    <rPh sb="0" eb="2">
      <t>カサイ</t>
    </rPh>
    <phoneticPr fontId="18"/>
  </si>
  <si>
    <t>未使用</t>
    <rPh sb="0" eb="3">
      <t>ミシヨウ</t>
    </rPh>
    <phoneticPr fontId="18"/>
  </si>
  <si>
    <t>シャトルNo.7</t>
    <phoneticPr fontId="17"/>
  </si>
  <si>
    <t>シャトルNo.7</t>
    <phoneticPr fontId="18"/>
  </si>
  <si>
    <t>シャトルNo.7</t>
    <phoneticPr fontId="1"/>
  </si>
  <si>
    <t>シャトルNo.7</t>
    <phoneticPr fontId="1"/>
  </si>
  <si>
    <t>←概要へｼﾞｬﾝﾌﾟ</t>
    <phoneticPr fontId="18"/>
  </si>
  <si>
    <t>予備</t>
    <phoneticPr fontId="17"/>
  </si>
  <si>
    <t>STステータス(バッファ以外)</t>
    <phoneticPr fontId="17"/>
  </si>
  <si>
    <t>STステータス（入庫バッファ）</t>
    <rPh sb="8" eb="10">
      <t>ニュウコ</t>
    </rPh>
    <phoneticPr fontId="17"/>
  </si>
  <si>
    <t>STステータス（出庫バッファ）</t>
    <rPh sb="8" eb="10">
      <t>シュッコ</t>
    </rPh>
    <phoneticPr fontId="17"/>
  </si>
  <si>
    <r>
      <t>D0</t>
    </r>
    <r>
      <rPr>
        <sz val="11"/>
        <rFont val="ＭＳ ゴシック"/>
        <family val="3"/>
        <charset val="128"/>
      </rPr>
      <t>12</t>
    </r>
    <r>
      <rPr>
        <sz val="11"/>
        <rFont val="ＭＳ ゴシック"/>
        <family val="3"/>
        <charset val="128"/>
      </rPr>
      <t>0</t>
    </r>
    <phoneticPr fontId="18"/>
  </si>
  <si>
    <r>
      <t>D0</t>
    </r>
    <r>
      <rPr>
        <sz val="11"/>
        <rFont val="ＭＳ ゴシック"/>
        <family val="3"/>
        <charset val="128"/>
      </rPr>
      <t>12</t>
    </r>
    <r>
      <rPr>
        <sz val="11"/>
        <rFont val="ＭＳ ゴシック"/>
        <family val="3"/>
        <charset val="128"/>
      </rPr>
      <t>1</t>
    </r>
    <phoneticPr fontId="18"/>
  </si>
  <si>
    <t>D0122</t>
  </si>
  <si>
    <t>D0123</t>
  </si>
  <si>
    <t>D0124</t>
  </si>
  <si>
    <t>D0125</t>
  </si>
  <si>
    <t>D0126</t>
  </si>
  <si>
    <t>D0127</t>
  </si>
  <si>
    <t>D0128</t>
  </si>
  <si>
    <t>入庫ﾗｲﾝ(入庫ｻｰﾊﾞ)</t>
    <phoneticPr fontId="18"/>
  </si>
  <si>
    <r>
      <t>D013</t>
    </r>
    <r>
      <rPr>
        <sz val="11"/>
        <rFont val="ＭＳ ゴシック"/>
        <family val="3"/>
        <charset val="128"/>
      </rPr>
      <t>0</t>
    </r>
    <phoneticPr fontId="18"/>
  </si>
  <si>
    <r>
      <t>D013</t>
    </r>
    <r>
      <rPr>
        <sz val="11"/>
        <rFont val="ＭＳ ゴシック"/>
        <family val="3"/>
        <charset val="128"/>
      </rPr>
      <t>1</t>
    </r>
    <phoneticPr fontId="18"/>
  </si>
  <si>
    <t>D0132</t>
    <phoneticPr fontId="18"/>
  </si>
  <si>
    <t>D0133</t>
  </si>
  <si>
    <t>D0134</t>
  </si>
  <si>
    <t>D0135</t>
  </si>
  <si>
    <t>D0136</t>
  </si>
  <si>
    <t>D0137</t>
  </si>
  <si>
    <t>D0138</t>
  </si>
  <si>
    <t>ｲｼﾞｪｸﾄﾗｲﾝ(入庫ｻｰﾊﾞ)</t>
    <phoneticPr fontId="18"/>
  </si>
  <si>
    <t>出庫ﾗｲﾝ(出庫ｻｰﾊﾞ)</t>
    <phoneticPr fontId="18"/>
  </si>
  <si>
    <r>
      <t>D014</t>
    </r>
    <r>
      <rPr>
        <sz val="11"/>
        <rFont val="ＭＳ ゴシック"/>
        <family val="3"/>
        <charset val="128"/>
      </rPr>
      <t>0</t>
    </r>
    <phoneticPr fontId="18"/>
  </si>
  <si>
    <r>
      <t>D014</t>
    </r>
    <r>
      <rPr>
        <sz val="11"/>
        <rFont val="ＭＳ ゴシック"/>
        <family val="3"/>
        <charset val="128"/>
      </rPr>
      <t>1</t>
    </r>
    <phoneticPr fontId="18"/>
  </si>
  <si>
    <t>D0142</t>
    <phoneticPr fontId="18"/>
  </si>
  <si>
    <t>D0143</t>
  </si>
  <si>
    <t>D0144</t>
  </si>
  <si>
    <t>D0145</t>
  </si>
  <si>
    <t>D0146</t>
  </si>
  <si>
    <t>D0147</t>
  </si>
  <si>
    <t>D0148</t>
  </si>
  <si>
    <t>緊急出庫ﾗｲﾝ(出庫ｻｰﾊﾞ)</t>
    <phoneticPr fontId="18"/>
  </si>
  <si>
    <r>
      <t>D01</t>
    </r>
    <r>
      <rPr>
        <sz val="11"/>
        <rFont val="ＭＳ ゴシック"/>
        <family val="3"/>
        <charset val="128"/>
      </rPr>
      <t>5</t>
    </r>
    <r>
      <rPr>
        <sz val="11"/>
        <rFont val="ＭＳ ゴシック"/>
        <family val="3"/>
        <charset val="128"/>
      </rPr>
      <t>0</t>
    </r>
    <phoneticPr fontId="18"/>
  </si>
  <si>
    <r>
      <t>D015</t>
    </r>
    <r>
      <rPr>
        <sz val="11"/>
        <rFont val="ＭＳ ゴシック"/>
        <family val="3"/>
        <charset val="128"/>
      </rPr>
      <t>1</t>
    </r>
    <phoneticPr fontId="18"/>
  </si>
  <si>
    <r>
      <t>D01</t>
    </r>
    <r>
      <rPr>
        <sz val="11"/>
        <rFont val="ＭＳ ゴシック"/>
        <family val="3"/>
        <charset val="128"/>
      </rPr>
      <t>5</t>
    </r>
    <r>
      <rPr>
        <sz val="11"/>
        <rFont val="ＭＳ ゴシック"/>
        <family val="3"/>
        <charset val="128"/>
      </rPr>
      <t>2</t>
    </r>
    <phoneticPr fontId="18"/>
  </si>
  <si>
    <r>
      <t>D017</t>
    </r>
    <r>
      <rPr>
        <sz val="11"/>
        <rFont val="ＭＳ ゴシック"/>
        <family val="3"/>
        <charset val="128"/>
      </rPr>
      <t>0</t>
    </r>
    <phoneticPr fontId="18"/>
  </si>
  <si>
    <r>
      <t>D017</t>
    </r>
    <r>
      <rPr>
        <sz val="11"/>
        <rFont val="ＭＳ ゴシック"/>
        <family val="3"/>
        <charset val="128"/>
      </rPr>
      <t>1</t>
    </r>
    <phoneticPr fontId="18"/>
  </si>
  <si>
    <r>
      <t>D017</t>
    </r>
    <r>
      <rPr>
        <sz val="11"/>
        <rFont val="ＭＳ ゴシック"/>
        <family val="3"/>
        <charset val="128"/>
      </rPr>
      <t>2</t>
    </r>
    <phoneticPr fontId="18"/>
  </si>
  <si>
    <t>D0173</t>
  </si>
  <si>
    <t>D0174</t>
  </si>
  <si>
    <t>D0175</t>
  </si>
  <si>
    <t>D0176</t>
  </si>
  <si>
    <t>D0177</t>
  </si>
  <si>
    <t>D0178</t>
  </si>
  <si>
    <r>
      <t>D01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0</t>
    </r>
    <phoneticPr fontId="18"/>
  </si>
  <si>
    <r>
      <t>D01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1</t>
    </r>
    <phoneticPr fontId="18"/>
  </si>
  <si>
    <r>
      <t>D01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2</t>
    </r>
    <phoneticPr fontId="18"/>
  </si>
  <si>
    <t>D0193</t>
  </si>
  <si>
    <t>D0194</t>
  </si>
  <si>
    <t>D0195</t>
  </si>
  <si>
    <t>D0196</t>
  </si>
  <si>
    <t>D0197</t>
  </si>
  <si>
    <t>D0198</t>
  </si>
  <si>
    <r>
      <t>D0</t>
    </r>
    <r>
      <rPr>
        <sz val="11"/>
        <rFont val="ＭＳ ゴシック"/>
        <family val="3"/>
        <charset val="128"/>
      </rPr>
      <t>20</t>
    </r>
    <r>
      <rPr>
        <sz val="11"/>
        <rFont val="ＭＳ ゴシック"/>
        <family val="3"/>
        <charset val="128"/>
      </rPr>
      <t>0</t>
    </r>
    <phoneticPr fontId="18"/>
  </si>
  <si>
    <r>
      <t>D0</t>
    </r>
    <r>
      <rPr>
        <sz val="11"/>
        <rFont val="ＭＳ ゴシック"/>
        <family val="3"/>
        <charset val="128"/>
      </rPr>
      <t>20</t>
    </r>
    <r>
      <rPr>
        <sz val="11"/>
        <rFont val="ＭＳ ゴシック"/>
        <family val="3"/>
        <charset val="128"/>
      </rPr>
      <t>1</t>
    </r>
    <phoneticPr fontId="18"/>
  </si>
  <si>
    <r>
      <t>D0</t>
    </r>
    <r>
      <rPr>
        <sz val="11"/>
        <rFont val="ＭＳ ゴシック"/>
        <family val="3"/>
        <charset val="128"/>
      </rPr>
      <t>20</t>
    </r>
    <r>
      <rPr>
        <sz val="11"/>
        <rFont val="ＭＳ ゴシック"/>
        <family val="3"/>
        <charset val="128"/>
      </rPr>
      <t>2</t>
    </r>
    <phoneticPr fontId="18"/>
  </si>
  <si>
    <t>シャトルアラーム</t>
    <phoneticPr fontId="17"/>
  </si>
  <si>
    <r>
      <t>D02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0</t>
    </r>
    <phoneticPr fontId="18"/>
  </si>
  <si>
    <r>
      <t>D02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1</t>
    </r>
    <phoneticPr fontId="18"/>
  </si>
  <si>
    <r>
      <t>D02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2</t>
    </r>
    <phoneticPr fontId="18"/>
  </si>
  <si>
    <r>
      <t>D024</t>
    </r>
    <r>
      <rPr>
        <sz val="11"/>
        <rFont val="ＭＳ ゴシック"/>
        <family val="3"/>
        <charset val="128"/>
      </rPr>
      <t>0</t>
    </r>
    <phoneticPr fontId="18"/>
  </si>
  <si>
    <r>
      <t>D024</t>
    </r>
    <r>
      <rPr>
        <sz val="11"/>
        <rFont val="ＭＳ ゴシック"/>
        <family val="3"/>
        <charset val="128"/>
      </rPr>
      <t>1</t>
    </r>
    <phoneticPr fontId="18"/>
  </si>
  <si>
    <t>D0242</t>
    <phoneticPr fontId="18"/>
  </si>
  <si>
    <t>D0243</t>
  </si>
  <si>
    <t>D0244</t>
  </si>
  <si>
    <t>D0245</t>
  </si>
  <si>
    <t>D0246</t>
  </si>
  <si>
    <t>D0247</t>
  </si>
  <si>
    <t>D0248</t>
  </si>
  <si>
    <t>サーバステータス</t>
    <phoneticPr fontId="17"/>
  </si>
  <si>
    <t>サーバアラーム</t>
    <phoneticPr fontId="17"/>
  </si>
  <si>
    <t>シャトル動作完了</t>
    <phoneticPr fontId="17"/>
  </si>
  <si>
    <t>サーバ動作完了</t>
    <phoneticPr fontId="17"/>
  </si>
  <si>
    <t>予備</t>
    <phoneticPr fontId="17"/>
  </si>
  <si>
    <r>
      <t>D02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0</t>
    </r>
    <phoneticPr fontId="18"/>
  </si>
  <si>
    <r>
      <t>D02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1</t>
    </r>
    <phoneticPr fontId="18"/>
  </si>
  <si>
    <r>
      <t>D02</t>
    </r>
    <r>
      <rPr>
        <sz val="11"/>
        <rFont val="ＭＳ ゴシック"/>
        <family val="3"/>
        <charset val="128"/>
      </rPr>
      <t>9</t>
    </r>
    <r>
      <rPr>
        <sz val="11"/>
        <rFont val="ＭＳ ゴシック"/>
        <family val="3"/>
        <charset val="128"/>
      </rPr>
      <t>2</t>
    </r>
    <phoneticPr fontId="18"/>
  </si>
  <si>
    <t>D0293</t>
  </si>
  <si>
    <t>D0294</t>
  </si>
  <si>
    <t>D0295</t>
  </si>
  <si>
    <t>D0296</t>
  </si>
  <si>
    <t>D0297</t>
  </si>
  <si>
    <t>D0298</t>
  </si>
  <si>
    <r>
      <t>D03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0</t>
    </r>
    <phoneticPr fontId="18"/>
  </si>
  <si>
    <r>
      <t>D03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1</t>
    </r>
    <phoneticPr fontId="18"/>
  </si>
  <si>
    <r>
      <t>D03</t>
    </r>
    <r>
      <rPr>
        <sz val="11"/>
        <rFont val="ＭＳ ゴシック"/>
        <family val="3"/>
        <charset val="128"/>
      </rPr>
      <t>1</t>
    </r>
    <r>
      <rPr>
        <sz val="11"/>
        <rFont val="ＭＳ ゴシック"/>
        <family val="3"/>
        <charset val="128"/>
      </rPr>
      <t>2</t>
    </r>
    <phoneticPr fontId="18"/>
  </si>
  <si>
    <t>D0313</t>
  </si>
  <si>
    <t>D0314</t>
  </si>
  <si>
    <t>D0315</t>
  </si>
  <si>
    <t>D0316</t>
  </si>
  <si>
    <t>D0317</t>
  </si>
  <si>
    <t>D0318</t>
  </si>
  <si>
    <r>
      <t>D03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0</t>
    </r>
    <phoneticPr fontId="18"/>
  </si>
  <si>
    <r>
      <t>D03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1</t>
    </r>
    <phoneticPr fontId="18"/>
  </si>
  <si>
    <r>
      <t>D03</t>
    </r>
    <r>
      <rPr>
        <sz val="11"/>
        <rFont val="ＭＳ ゴシック"/>
        <family val="3"/>
        <charset val="128"/>
      </rPr>
      <t>2</t>
    </r>
    <r>
      <rPr>
        <sz val="11"/>
        <rFont val="ＭＳ ゴシック"/>
        <family val="3"/>
        <charset val="128"/>
      </rPr>
      <t>2</t>
    </r>
    <phoneticPr fontId="18"/>
  </si>
  <si>
    <t>コンベヤ到着（入庫バッファ）</t>
    <rPh sb="4" eb="6">
      <t>トウチャク</t>
    </rPh>
    <phoneticPr fontId="17"/>
  </si>
  <si>
    <t>コンベヤBCR付到着</t>
    <phoneticPr fontId="17"/>
  </si>
  <si>
    <r>
      <t>D038</t>
    </r>
    <r>
      <rPr>
        <sz val="11"/>
        <rFont val="ＭＳ ゴシック"/>
        <family val="3"/>
        <charset val="128"/>
      </rPr>
      <t>0</t>
    </r>
    <phoneticPr fontId="18"/>
  </si>
  <si>
    <r>
      <t>D038</t>
    </r>
    <r>
      <rPr>
        <sz val="11"/>
        <rFont val="ＭＳ ゴシック"/>
        <family val="3"/>
        <charset val="128"/>
      </rPr>
      <t>1</t>
    </r>
    <phoneticPr fontId="18"/>
  </si>
  <si>
    <t>D0382</t>
    <phoneticPr fontId="18"/>
  </si>
  <si>
    <t>D0383</t>
  </si>
  <si>
    <t>D0384</t>
  </si>
  <si>
    <t>D0385</t>
  </si>
  <si>
    <t>D0386</t>
  </si>
  <si>
    <t>D0387</t>
  </si>
  <si>
    <t>D0388</t>
  </si>
  <si>
    <t>シャトル作業指示（１）</t>
    <rPh sb="4" eb="6">
      <t>サギョウ</t>
    </rPh>
    <rPh sb="6" eb="8">
      <t>シジ</t>
    </rPh>
    <phoneticPr fontId="17"/>
  </si>
  <si>
    <t>シャトル作業指示（２）</t>
    <phoneticPr fontId="17"/>
  </si>
  <si>
    <t>シャトル作業指示（３）</t>
    <phoneticPr fontId="17"/>
  </si>
  <si>
    <t>シャトル作業指示（４）</t>
    <phoneticPr fontId="17"/>
  </si>
  <si>
    <t>シャトル作業指示（５）</t>
    <phoneticPr fontId="17"/>
  </si>
  <si>
    <t>シャトル作業指示（６）</t>
    <phoneticPr fontId="17"/>
  </si>
  <si>
    <t>シャトル作業指示（７）</t>
    <phoneticPr fontId="17"/>
  </si>
  <si>
    <r>
      <t>D0</t>
    </r>
    <r>
      <rPr>
        <sz val="11"/>
        <rFont val="ＭＳ ゴシック"/>
        <family val="3"/>
        <charset val="128"/>
      </rPr>
      <t>72</t>
    </r>
    <r>
      <rPr>
        <sz val="11"/>
        <rFont val="ＭＳ ゴシック"/>
        <family val="3"/>
        <charset val="128"/>
      </rPr>
      <t>0</t>
    </r>
    <phoneticPr fontId="18"/>
  </si>
  <si>
    <r>
      <t>D0</t>
    </r>
    <r>
      <rPr>
        <sz val="11"/>
        <rFont val="ＭＳ ゴシック"/>
        <family val="3"/>
        <charset val="128"/>
      </rPr>
      <t>72</t>
    </r>
    <r>
      <rPr>
        <sz val="11"/>
        <rFont val="ＭＳ ゴシック"/>
        <family val="3"/>
        <charset val="128"/>
      </rPr>
      <t>1</t>
    </r>
    <phoneticPr fontId="18"/>
  </si>
  <si>
    <r>
      <t>D0</t>
    </r>
    <r>
      <rPr>
        <sz val="11"/>
        <rFont val="ＭＳ ゴシック"/>
        <family val="3"/>
        <charset val="128"/>
      </rPr>
      <t>72</t>
    </r>
    <r>
      <rPr>
        <sz val="11"/>
        <rFont val="ＭＳ ゴシック"/>
        <family val="3"/>
        <charset val="128"/>
      </rPr>
      <t>2</t>
    </r>
    <phoneticPr fontId="18"/>
  </si>
  <si>
    <t>D0723</t>
  </si>
  <si>
    <t>D0724</t>
  </si>
  <si>
    <t>D0725</t>
  </si>
  <si>
    <t>D0726</t>
  </si>
  <si>
    <t>D0727</t>
  </si>
  <si>
    <t>D0728</t>
  </si>
  <si>
    <t>D0729</t>
  </si>
  <si>
    <r>
      <t>D0</t>
    </r>
    <r>
      <rPr>
        <sz val="11"/>
        <rFont val="ＭＳ ゴシック"/>
        <family val="3"/>
        <charset val="128"/>
      </rPr>
      <t>73</t>
    </r>
    <r>
      <rPr>
        <sz val="11"/>
        <rFont val="ＭＳ ゴシック"/>
        <family val="3"/>
        <charset val="128"/>
      </rPr>
      <t>0</t>
    </r>
    <phoneticPr fontId="18"/>
  </si>
  <si>
    <r>
      <t>D0</t>
    </r>
    <r>
      <rPr>
        <sz val="11"/>
        <rFont val="ＭＳ ゴシック"/>
        <family val="3"/>
        <charset val="128"/>
      </rPr>
      <t>73</t>
    </r>
    <r>
      <rPr>
        <sz val="11"/>
        <rFont val="ＭＳ ゴシック"/>
        <family val="3"/>
        <charset val="128"/>
      </rPr>
      <t>1</t>
    </r>
    <phoneticPr fontId="18"/>
  </si>
  <si>
    <r>
      <t>D0</t>
    </r>
    <r>
      <rPr>
        <sz val="11"/>
        <rFont val="ＭＳ ゴシック"/>
        <family val="3"/>
        <charset val="128"/>
      </rPr>
      <t>73</t>
    </r>
    <r>
      <rPr>
        <sz val="11"/>
        <rFont val="ＭＳ ゴシック"/>
        <family val="3"/>
        <charset val="128"/>
      </rPr>
      <t>2</t>
    </r>
    <phoneticPr fontId="18"/>
  </si>
  <si>
    <t>D0733</t>
  </si>
  <si>
    <t>D0734</t>
  </si>
  <si>
    <t>D0735</t>
  </si>
  <si>
    <t>D0736</t>
  </si>
  <si>
    <t>D0737</t>
  </si>
  <si>
    <t>D0738</t>
  </si>
  <si>
    <t>D0739</t>
  </si>
  <si>
    <t>サーバ作業指示（１）</t>
    <rPh sb="3" eb="5">
      <t>サギョウ</t>
    </rPh>
    <rPh sb="5" eb="7">
      <t>シジ</t>
    </rPh>
    <phoneticPr fontId="17"/>
  </si>
  <si>
    <t>サーバ作業指示（２）</t>
    <rPh sb="3" eb="5">
      <t>サギョウ</t>
    </rPh>
    <rPh sb="5" eb="7">
      <t>シジ</t>
    </rPh>
    <phoneticPr fontId="17"/>
  </si>
  <si>
    <t>D0790</t>
    <phoneticPr fontId="17"/>
  </si>
  <si>
    <t>D0799</t>
    <phoneticPr fontId="17"/>
  </si>
  <si>
    <t>予備</t>
    <phoneticPr fontId="17"/>
  </si>
  <si>
    <t>未使用</t>
    <phoneticPr fontId="18"/>
  </si>
  <si>
    <t>D0020</t>
    <phoneticPr fontId="17"/>
  </si>
  <si>
    <t>D0030</t>
    <phoneticPr fontId="17"/>
  </si>
  <si>
    <t>↓</t>
    <phoneticPr fontId="17"/>
  </si>
  <si>
    <t>シャトルNo.8</t>
    <phoneticPr fontId="17"/>
  </si>
  <si>
    <t>シャトルNo.8</t>
    <phoneticPr fontId="18"/>
  </si>
  <si>
    <t>シャトルNo.8</t>
    <phoneticPr fontId="18"/>
  </si>
  <si>
    <t>｜</t>
    <phoneticPr fontId="17"/>
  </si>
  <si>
    <t>シャトルNo.8</t>
    <phoneticPr fontId="1"/>
  </si>
  <si>
    <t>D0540</t>
    <phoneticPr fontId="18"/>
  </si>
  <si>
    <t>D0541</t>
    <phoneticPr fontId="18"/>
  </si>
  <si>
    <t>D0542</t>
  </si>
  <si>
    <t>D0543</t>
  </si>
  <si>
    <t>D0544</t>
  </si>
  <si>
    <t>D0545</t>
  </si>
  <si>
    <t>D0546</t>
  </si>
  <si>
    <t>D0547</t>
  </si>
  <si>
    <t>D0548</t>
  </si>
  <si>
    <t>D0549</t>
  </si>
  <si>
    <t>D0550</t>
    <phoneticPr fontId="18"/>
  </si>
  <si>
    <t>D0551</t>
    <phoneticPr fontId="18"/>
  </si>
  <si>
    <t>D0552</t>
  </si>
  <si>
    <t>D0553</t>
  </si>
  <si>
    <t>D0554</t>
  </si>
  <si>
    <t>D0555</t>
  </si>
  <si>
    <t>D0556</t>
  </si>
  <si>
    <t>D0557</t>
  </si>
  <si>
    <t>D0558</t>
  </si>
  <si>
    <t>D0559</t>
  </si>
  <si>
    <t>シャトルNo.8</t>
    <phoneticPr fontId="1"/>
  </si>
  <si>
    <t>シャトル作業指示（８）</t>
  </si>
  <si>
    <t>D0540</t>
    <phoneticPr fontId="17"/>
  </si>
  <si>
    <t>D0610</t>
    <phoneticPr fontId="17"/>
  </si>
  <si>
    <t>〃</t>
    <phoneticPr fontId="17"/>
  </si>
  <si>
    <t>〃</t>
    <phoneticPr fontId="18"/>
  </si>
  <si>
    <t>BCDコード</t>
    <phoneticPr fontId="1"/>
  </si>
  <si>
    <t>予備</t>
    <phoneticPr fontId="17"/>
  </si>
  <si>
    <t>｜</t>
    <phoneticPr fontId="17"/>
  </si>
  <si>
    <t>↓</t>
    <phoneticPr fontId="17"/>
  </si>
  <si>
    <t>D0030</t>
    <phoneticPr fontId="18"/>
  </si>
  <si>
    <t>D0031</t>
    <phoneticPr fontId="18"/>
  </si>
  <si>
    <t>D0032</t>
  </si>
  <si>
    <t>D0033</t>
  </si>
  <si>
    <t>D0034</t>
  </si>
  <si>
    <t>D0035</t>
  </si>
  <si>
    <t>D0036</t>
  </si>
  <si>
    <t>D0037</t>
  </si>
  <si>
    <t>D0038</t>
  </si>
  <si>
    <t>D0040</t>
    <phoneticPr fontId="18"/>
  </si>
  <si>
    <t>D0041</t>
    <phoneticPr fontId="18"/>
  </si>
  <si>
    <t>D0042</t>
  </si>
  <si>
    <t>D0043</t>
  </si>
  <si>
    <t>D0044</t>
  </si>
  <si>
    <t>D0045</t>
  </si>
  <si>
    <t>D0046</t>
  </si>
  <si>
    <t>D0047</t>
  </si>
  <si>
    <t>D0048</t>
  </si>
  <si>
    <t>D0060</t>
    <phoneticPr fontId="17"/>
  </si>
  <si>
    <t>第１作業ステーション</t>
    <rPh sb="0" eb="1">
      <t>ダイ</t>
    </rPh>
    <rPh sb="2" eb="4">
      <t>サギョウ</t>
    </rPh>
    <phoneticPr fontId="17"/>
  </si>
  <si>
    <t>STNo.1120</t>
    <phoneticPr fontId="18"/>
  </si>
  <si>
    <t>STNo.1121</t>
    <phoneticPr fontId="18"/>
  </si>
  <si>
    <t>STNo.1122</t>
    <phoneticPr fontId="18"/>
  </si>
  <si>
    <t>STNo.1123</t>
    <phoneticPr fontId="18"/>
  </si>
  <si>
    <t>STNo.1124</t>
    <phoneticPr fontId="18"/>
  </si>
  <si>
    <t>STNo.1125</t>
    <phoneticPr fontId="18"/>
  </si>
  <si>
    <t>STNo.1126</t>
    <phoneticPr fontId="18"/>
  </si>
  <si>
    <t>STNo.1127</t>
    <phoneticPr fontId="18"/>
  </si>
  <si>
    <t>STNo.1128</t>
    <phoneticPr fontId="18"/>
  </si>
  <si>
    <t>将来増設</t>
    <rPh sb="0" eb="4">
      <t>ショウライゾウセツ</t>
    </rPh>
    <phoneticPr fontId="18"/>
  </si>
  <si>
    <t>STNo.1111</t>
    <phoneticPr fontId="18"/>
  </si>
  <si>
    <t>STNo.1112</t>
    <phoneticPr fontId="18"/>
  </si>
  <si>
    <t>STNo.1113</t>
    <phoneticPr fontId="18"/>
  </si>
  <si>
    <t>STNo.1114</t>
    <phoneticPr fontId="18"/>
  </si>
  <si>
    <t>STNo.1115</t>
    <phoneticPr fontId="18"/>
  </si>
  <si>
    <t>STNo.1116</t>
    <phoneticPr fontId="18"/>
  </si>
  <si>
    <t>STNo.1117</t>
    <phoneticPr fontId="18"/>
  </si>
  <si>
    <t>STNo.1118</t>
    <phoneticPr fontId="18"/>
  </si>
  <si>
    <t>STNo.1192</t>
    <phoneticPr fontId="18"/>
  </si>
  <si>
    <t>STNo.1110</t>
    <phoneticPr fontId="18"/>
  </si>
  <si>
    <t>STNo.1191</t>
    <phoneticPr fontId="18"/>
  </si>
  <si>
    <t>将来増設</t>
    <rPh sb="0" eb="4">
      <t>ショウライゾウセツ</t>
    </rPh>
    <phoneticPr fontId="1"/>
  </si>
  <si>
    <t>搬送バーコードの頭から設定。例：「123456789012345678」の場合、17のエリアに1を設定し、0のエリアに最後の8を設定</t>
  </si>
  <si>
    <t>↓（将来増設）</t>
    <rPh sb="2" eb="6">
      <t>ショウライゾウセツ</t>
    </rPh>
    <phoneticPr fontId="17"/>
  </si>
  <si>
    <t>サイクル停止要求</t>
    <rPh sb="4" eb="8">
      <t>テイシヨウキュウ</t>
    </rPh>
    <phoneticPr fontId="18"/>
  </si>
  <si>
    <t>停止要求ﾌﾗｸﾞ</t>
    <rPh sb="0" eb="4">
      <t>テイシヨウキュウ</t>
    </rPh>
    <phoneticPr fontId="1"/>
  </si>
  <si>
    <t>サイクル停止要求・・・PLC6A、PLC6B(自動倉庫M2F)、PLC7（TL)、いずれかの火災信号をCPUが受信で、</t>
    <rPh sb="4" eb="8">
      <t>テイシヨウキュウ</t>
    </rPh>
    <rPh sb="23" eb="27">
      <t>ジドウソウコ</t>
    </rPh>
    <rPh sb="46" eb="50">
      <t>カサイシンゴウ</t>
    </rPh>
    <rPh sb="55" eb="57">
      <t>ジュシン</t>
    </rPh>
    <phoneticPr fontId="18"/>
  </si>
  <si>
    <t>全PLCへサイクル停止要求を行います。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</si>
</sst>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20"/>
      <name val="HG丸ｺﾞｼｯｸM-PRO"/>
      <family val="3"/>
      <charset val="128"/>
    </font>
    <font>
      <b/>
      <sz val="16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b/>
      <i/>
      <sz val="11"/>
      <color indexed="13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1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10"/>
      <color indexed="12"/>
      <name val="ＭＳ ゴシック"/>
      <family val="3"/>
      <charset val="128"/>
    </font>
    <font>
      <u/>
      <sz val="8"/>
      <color indexed="9"/>
      <name val="ＭＳ ゴシック"/>
      <family val="3"/>
      <charset val="128"/>
    </font>
    <font>
      <sz val="9"/>
      <name val="ＭＳ ゴシック"/>
      <family val="3"/>
      <charset val="128"/>
    </font>
    <font>
      <sz val="12"/>
      <name val="ＭＳ ゴシック"/>
      <family val="3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10"/>
      <name val="ＭＳ 明朝"/>
      <family val="1"/>
      <charset val="128"/>
    </font>
    <font>
      <vertAlign val="superscript"/>
      <sz val="11"/>
      <name val="ＭＳ 明朝"/>
      <family val="1"/>
      <charset val="128"/>
    </font>
    <font>
      <sz val="9"/>
      <name val="ＭＳ 明朝"/>
      <family val="1"/>
      <charset val="128"/>
    </font>
    <font>
      <b/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</cellStyleXfs>
  <cellXfs count="252">
    <xf numFmtId="0" fontId="0" fillId="0" borderId="0" xfId="0"/>
    <xf numFmtId="0" fontId="1" fillId="0" borderId="0" xfId="2"/>
    <xf numFmtId="0" fontId="1" fillId="0" borderId="0" xfId="2" applyAlignment="1">
      <alignment vertical="center"/>
    </xf>
    <xf numFmtId="0" fontId="6" fillId="0" borderId="1" xfId="2" applyFont="1" applyBorder="1" applyAlignment="1">
      <alignment horizontal="center"/>
    </xf>
    <xf numFmtId="0" fontId="6" fillId="0" borderId="2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0" fontId="6" fillId="0" borderId="4" xfId="2" applyFont="1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6" xfId="2" applyBorder="1"/>
    <xf numFmtId="0" fontId="1" fillId="0" borderId="7" xfId="2" applyBorder="1" applyAlignment="1">
      <alignment horizontal="left"/>
    </xf>
    <xf numFmtId="0" fontId="1" fillId="0" borderId="8" xfId="2" applyBorder="1"/>
    <xf numFmtId="0" fontId="1" fillId="0" borderId="9" xfId="2" applyBorder="1" applyAlignment="1">
      <alignment horizontal="center"/>
    </xf>
    <xf numFmtId="0" fontId="1" fillId="0" borderId="10" xfId="2" applyBorder="1"/>
    <xf numFmtId="0" fontId="1" fillId="0" borderId="11" xfId="2" applyBorder="1" applyAlignment="1">
      <alignment horizontal="left"/>
    </xf>
    <xf numFmtId="0" fontId="1" fillId="0" borderId="12" xfId="2" applyBorder="1"/>
    <xf numFmtId="0" fontId="1" fillId="0" borderId="0" xfId="2" applyAlignment="1">
      <alignment wrapText="1"/>
    </xf>
    <xf numFmtId="0" fontId="7" fillId="2" borderId="0" xfId="2" applyFont="1" applyFill="1" applyAlignment="1">
      <alignment horizontal="left"/>
    </xf>
    <xf numFmtId="0" fontId="1" fillId="0" borderId="0" xfId="3"/>
    <xf numFmtId="0" fontId="1" fillId="0" borderId="0" xfId="3" applyAlignment="1">
      <alignment vertical="center"/>
    </xf>
    <xf numFmtId="0" fontId="11" fillId="0" borderId="13" xfId="3" applyFont="1" applyBorder="1" applyAlignment="1">
      <alignment horizontal="center" vertical="center"/>
    </xf>
    <xf numFmtId="0" fontId="11" fillId="0" borderId="14" xfId="3" applyFont="1" applyBorder="1" applyAlignment="1">
      <alignment horizontal="center" vertical="center"/>
    </xf>
    <xf numFmtId="0" fontId="11" fillId="0" borderId="15" xfId="3" applyFont="1" applyBorder="1" applyAlignment="1">
      <alignment horizontal="center" vertical="center"/>
    </xf>
    <xf numFmtId="0" fontId="11" fillId="0" borderId="16" xfId="3" applyFont="1" applyBorder="1" applyAlignment="1">
      <alignment horizontal="center" vertical="center"/>
    </xf>
    <xf numFmtId="0" fontId="12" fillId="0" borderId="17" xfId="1" applyFont="1" applyBorder="1" applyAlignment="1" applyProtection="1">
      <alignment horizontal="center" vertical="center"/>
    </xf>
    <xf numFmtId="0" fontId="11" fillId="0" borderId="0" xfId="3" applyFont="1" applyBorder="1" applyAlignment="1">
      <alignment horizontal="center" vertical="center"/>
    </xf>
    <xf numFmtId="0" fontId="11" fillId="0" borderId="0" xfId="3" applyFont="1" applyFill="1" applyBorder="1" applyAlignment="1">
      <alignment vertical="center"/>
    </xf>
    <xf numFmtId="0" fontId="13" fillId="0" borderId="0" xfId="1" applyFont="1" applyAlignment="1" applyProtection="1"/>
    <xf numFmtId="0" fontId="1" fillId="0" borderId="0" xfId="4"/>
    <xf numFmtId="0" fontId="1" fillId="0" borderId="18" xfId="4" applyBorder="1" applyAlignment="1">
      <alignment vertical="center"/>
    </xf>
    <xf numFmtId="0" fontId="8" fillId="0" borderId="18" xfId="4" applyFont="1" applyBorder="1" applyAlignment="1">
      <alignment vertical="center"/>
    </xf>
    <xf numFmtId="0" fontId="1" fillId="0" borderId="18" xfId="4" applyBorder="1" applyAlignment="1">
      <alignment horizontal="right" vertical="center"/>
    </xf>
    <xf numFmtId="0" fontId="1" fillId="0" borderId="18" xfId="4" applyBorder="1" applyAlignment="1">
      <alignment horizontal="center" vertical="center"/>
    </xf>
    <xf numFmtId="0" fontId="1" fillId="0" borderId="19" xfId="4" applyBorder="1" applyAlignment="1">
      <alignment vertical="center"/>
    </xf>
    <xf numFmtId="0" fontId="14" fillId="0" borderId="20" xfId="4" applyFont="1" applyBorder="1" applyAlignment="1">
      <alignment horizontal="center" vertical="center"/>
    </xf>
    <xf numFmtId="0" fontId="1" fillId="0" borderId="21" xfId="4" applyBorder="1" applyAlignment="1">
      <alignment horizontal="center" vertical="center"/>
    </xf>
    <xf numFmtId="0" fontId="1" fillId="0" borderId="21" xfId="4" applyBorder="1"/>
    <xf numFmtId="0" fontId="14" fillId="0" borderId="22" xfId="4" applyFont="1" applyBorder="1" applyAlignment="1">
      <alignment horizontal="center" vertical="center"/>
    </xf>
    <xf numFmtId="0" fontId="15" fillId="0" borderId="23" xfId="4" quotePrefix="1" applyFont="1" applyBorder="1" applyAlignment="1">
      <alignment horizontal="center" vertical="center"/>
    </xf>
    <xf numFmtId="0" fontId="16" fillId="0" borderId="24" xfId="4" applyFont="1" applyBorder="1"/>
    <xf numFmtId="0" fontId="16" fillId="0" borderId="25" xfId="4" applyFont="1" applyBorder="1"/>
    <xf numFmtId="0" fontId="16" fillId="0" borderId="26" xfId="4" applyFont="1" applyBorder="1"/>
    <xf numFmtId="0" fontId="16" fillId="0" borderId="27" xfId="4" applyFont="1" applyBorder="1"/>
    <xf numFmtId="0" fontId="16" fillId="0" borderId="28" xfId="4" applyFont="1" applyBorder="1"/>
    <xf numFmtId="0" fontId="16" fillId="0" borderId="29" xfId="4" applyFont="1" applyBorder="1"/>
    <xf numFmtId="0" fontId="16" fillId="0" borderId="30" xfId="4" applyFont="1" applyBorder="1"/>
    <xf numFmtId="0" fontId="1" fillId="0" borderId="5" xfId="4" applyBorder="1"/>
    <xf numFmtId="0" fontId="1" fillId="0" borderId="0" xfId="4" applyBorder="1"/>
    <xf numFmtId="0" fontId="1" fillId="0" borderId="8" xfId="4" applyBorder="1"/>
    <xf numFmtId="0" fontId="1" fillId="0" borderId="9" xfId="4" applyBorder="1"/>
    <xf numFmtId="0" fontId="1" fillId="0" borderId="31" xfId="4" applyBorder="1"/>
    <xf numFmtId="0" fontId="1" fillId="0" borderId="12" xfId="4" applyBorder="1"/>
    <xf numFmtId="0" fontId="10" fillId="0" borderId="2" xfId="3" applyFont="1" applyFill="1" applyBorder="1" applyAlignment="1">
      <alignment vertical="center"/>
    </xf>
    <xf numFmtId="0" fontId="1" fillId="0" borderId="32" xfId="4" applyFont="1" applyBorder="1" applyAlignment="1">
      <alignment vertical="center"/>
    </xf>
    <xf numFmtId="0" fontId="16" fillId="0" borderId="33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24" xfId="4" applyFont="1" applyBorder="1" applyAlignment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35" xfId="4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 wrapText="1"/>
    </xf>
    <xf numFmtId="0" fontId="16" fillId="0" borderId="37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37" xfId="4" applyFont="1" applyBorder="1"/>
    <xf numFmtId="0" fontId="16" fillId="0" borderId="38" xfId="0" applyFont="1" applyBorder="1" applyAlignment="1">
      <alignment horizontal="center" vertical="center"/>
    </xf>
    <xf numFmtId="0" fontId="16" fillId="0" borderId="28" xfId="4" applyFont="1" applyBorder="1" applyAlignment="1">
      <alignment horizontal="center"/>
    </xf>
    <xf numFmtId="0" fontId="20" fillId="0" borderId="28" xfId="4" applyFont="1" applyBorder="1" applyAlignment="1">
      <alignment horizontal="left" vertical="center"/>
    </xf>
    <xf numFmtId="0" fontId="16" fillId="0" borderId="39" xfId="4" applyFont="1" applyBorder="1" applyAlignment="1">
      <alignment horizontal="center"/>
    </xf>
    <xf numFmtId="0" fontId="20" fillId="0" borderId="30" xfId="4" applyFont="1" applyBorder="1" applyAlignment="1">
      <alignment horizontal="left" vertical="center"/>
    </xf>
    <xf numFmtId="0" fontId="16" fillId="0" borderId="7" xfId="4" applyFont="1" applyBorder="1" applyAlignment="1">
      <alignment horizontal="center" vertical="center"/>
    </xf>
    <xf numFmtId="0" fontId="16" fillId="0" borderId="40" xfId="4" applyFont="1" applyBorder="1" applyAlignment="1">
      <alignment horizontal="center" vertical="center"/>
    </xf>
    <xf numFmtId="0" fontId="16" fillId="0" borderId="41" xfId="4" applyFont="1" applyBorder="1" applyAlignment="1">
      <alignment horizontal="center" vertical="center"/>
    </xf>
    <xf numFmtId="0" fontId="16" fillId="0" borderId="28" xfId="4" applyFont="1" applyBorder="1" applyAlignment="1">
      <alignment horizontal="center" vertical="center"/>
    </xf>
    <xf numFmtId="0" fontId="16" fillId="0" borderId="37" xfId="4" applyFont="1" applyBorder="1" applyAlignment="1">
      <alignment horizontal="center" vertical="center"/>
    </xf>
    <xf numFmtId="0" fontId="16" fillId="0" borderId="42" xfId="4" applyFont="1" applyBorder="1"/>
    <xf numFmtId="0" fontId="16" fillId="0" borderId="39" xfId="4" applyFont="1" applyBorder="1"/>
    <xf numFmtId="0" fontId="16" fillId="0" borderId="43" xfId="4" applyFont="1" applyBorder="1"/>
    <xf numFmtId="0" fontId="16" fillId="0" borderId="44" xfId="4" applyFont="1" applyBorder="1" applyAlignment="1">
      <alignment horizontal="center" vertical="center"/>
    </xf>
    <xf numFmtId="0" fontId="16" fillId="0" borderId="39" xfId="4" applyFont="1" applyBorder="1" applyAlignment="1">
      <alignment horizontal="center" vertical="center"/>
    </xf>
    <xf numFmtId="0" fontId="16" fillId="0" borderId="37" xfId="4" applyFont="1" applyBorder="1" applyAlignment="1">
      <alignment horizontal="center"/>
    </xf>
    <xf numFmtId="0" fontId="10" fillId="3" borderId="4" xfId="3" applyFont="1" applyFill="1" applyBorder="1" applyAlignment="1">
      <alignment vertical="center"/>
    </xf>
    <xf numFmtId="0" fontId="10" fillId="3" borderId="45" xfId="3" applyFont="1" applyFill="1" applyBorder="1" applyAlignment="1">
      <alignment vertical="center"/>
    </xf>
    <xf numFmtId="0" fontId="10" fillId="0" borderId="46" xfId="3" applyFont="1" applyFill="1" applyBorder="1" applyAlignment="1">
      <alignment horizontal="left" vertical="center"/>
    </xf>
    <xf numFmtId="0" fontId="10" fillId="0" borderId="0" xfId="3" applyFont="1" applyFill="1" applyBorder="1" applyAlignment="1">
      <alignment vertical="center"/>
    </xf>
    <xf numFmtId="0" fontId="11" fillId="0" borderId="0" xfId="0" applyFont="1"/>
    <xf numFmtId="0" fontId="9" fillId="0" borderId="0" xfId="0" applyFont="1"/>
    <xf numFmtId="0" fontId="16" fillId="0" borderId="47" xfId="4" applyFont="1" applyBorder="1" applyAlignment="1">
      <alignment horizontal="center" vertical="center"/>
    </xf>
    <xf numFmtId="0" fontId="1" fillId="0" borderId="0" xfId="4" applyFont="1" applyBorder="1"/>
    <xf numFmtId="0" fontId="12" fillId="0" borderId="48" xfId="1" applyFont="1" applyBorder="1" applyAlignment="1" applyProtection="1">
      <alignment horizontal="center" vertical="center"/>
    </xf>
    <xf numFmtId="0" fontId="10" fillId="0" borderId="49" xfId="3" applyFont="1" applyFill="1" applyBorder="1" applyAlignment="1">
      <alignment horizontal="left" vertical="center"/>
    </xf>
    <xf numFmtId="0" fontId="10" fillId="0" borderId="50" xfId="3" applyFont="1" applyFill="1" applyBorder="1" applyAlignment="1">
      <alignment horizontal="left" vertical="center"/>
    </xf>
    <xf numFmtId="0" fontId="0" fillId="0" borderId="4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44" xfId="4" applyFont="1" applyBorder="1"/>
    <xf numFmtId="0" fontId="16" fillId="0" borderId="51" xfId="4" applyFont="1" applyBorder="1"/>
    <xf numFmtId="0" fontId="0" fillId="0" borderId="26" xfId="0" applyBorder="1" applyAlignment="1">
      <alignment horizontal="center" vertical="center"/>
    </xf>
    <xf numFmtId="0" fontId="16" fillId="0" borderId="27" xfId="4" applyFont="1" applyBorder="1" applyAlignment="1">
      <alignment horizontal="center" vertical="top"/>
    </xf>
    <xf numFmtId="0" fontId="16" fillId="0" borderId="28" xfId="4" applyFont="1" applyBorder="1" applyAlignment="1">
      <alignment horizontal="center" vertical="top"/>
    </xf>
    <xf numFmtId="0" fontId="16" fillId="0" borderId="29" xfId="4" applyFont="1" applyBorder="1" applyAlignment="1">
      <alignment horizontal="center" vertical="top"/>
    </xf>
    <xf numFmtId="0" fontId="16" fillId="0" borderId="37" xfId="4" applyFont="1" applyBorder="1" applyAlignment="1">
      <alignment horizontal="center" vertical="top"/>
    </xf>
    <xf numFmtId="0" fontId="16" fillId="0" borderId="52" xfId="0" applyFont="1" applyBorder="1" applyAlignment="1">
      <alignment horizontal="center"/>
    </xf>
    <xf numFmtId="0" fontId="20" fillId="0" borderId="28" xfId="0" applyFont="1" applyBorder="1" applyAlignment="1">
      <alignment horizontal="left" vertical="center" shrinkToFit="1"/>
    </xf>
    <xf numFmtId="0" fontId="20" fillId="0" borderId="38" xfId="0" applyFont="1" applyBorder="1" applyAlignment="1">
      <alignment horizontal="left" vertical="center" shrinkToFit="1"/>
    </xf>
    <xf numFmtId="0" fontId="20" fillId="0" borderId="52" xfId="0" applyFont="1" applyBorder="1" applyAlignment="1">
      <alignment horizontal="left" vertical="center" shrinkToFit="1"/>
    </xf>
    <xf numFmtId="0" fontId="16" fillId="0" borderId="51" xfId="4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0" fontId="20" fillId="0" borderId="39" xfId="4" applyFont="1" applyBorder="1" applyAlignment="1">
      <alignment horizontal="left" vertical="center"/>
    </xf>
    <xf numFmtId="0" fontId="20" fillId="0" borderId="51" xfId="4" applyFont="1" applyBorder="1" applyAlignment="1">
      <alignment horizontal="left" vertical="center"/>
    </xf>
    <xf numFmtId="0" fontId="16" fillId="0" borderId="26" xfId="0" applyFont="1" applyBorder="1" applyAlignment="1">
      <alignment horizontal="center" vertical="center" wrapText="1"/>
    </xf>
    <xf numFmtId="0" fontId="16" fillId="0" borderId="29" xfId="4" applyFont="1" applyBorder="1" applyAlignment="1">
      <alignment horizontal="center" vertical="center"/>
    </xf>
    <xf numFmtId="0" fontId="20" fillId="0" borderId="43" xfId="4" applyFont="1" applyBorder="1" applyAlignment="1">
      <alignment horizontal="left" vertical="center"/>
    </xf>
    <xf numFmtId="0" fontId="1" fillId="0" borderId="0" xfId="4" quotePrefix="1" applyFont="1" applyBorder="1" applyAlignment="1">
      <alignment horizontal="left"/>
    </xf>
    <xf numFmtId="0" fontId="16" fillId="0" borderId="44" xfId="4" applyFont="1" applyBorder="1" applyAlignment="1">
      <alignment horizontal="center" vertical="top"/>
    </xf>
    <xf numFmtId="0" fontId="16" fillId="0" borderId="39" xfId="4" applyFont="1" applyBorder="1" applyAlignment="1">
      <alignment horizontal="center" vertical="top"/>
    </xf>
    <xf numFmtId="0" fontId="16" fillId="0" borderId="42" xfId="4" applyFont="1" applyBorder="1" applyAlignment="1">
      <alignment horizontal="center" vertical="top"/>
    </xf>
    <xf numFmtId="0" fontId="16" fillId="0" borderId="39" xfId="0" applyFont="1" applyBorder="1" applyAlignment="1">
      <alignment horizontal="center"/>
    </xf>
    <xf numFmtId="0" fontId="20" fillId="0" borderId="39" xfId="0" applyFont="1" applyBorder="1" applyAlignment="1">
      <alignment horizontal="left" vertical="center" shrinkToFit="1"/>
    </xf>
    <xf numFmtId="0" fontId="10" fillId="0" borderId="40" xfId="3" applyFont="1" applyFill="1" applyBorder="1" applyAlignment="1">
      <alignment vertical="center"/>
    </xf>
    <xf numFmtId="0" fontId="10" fillId="0" borderId="53" xfId="3" applyFont="1" applyFill="1" applyBorder="1" applyAlignment="1">
      <alignment vertical="center"/>
    </xf>
    <xf numFmtId="0" fontId="12" fillId="0" borderId="54" xfId="1" applyFont="1" applyBorder="1" applyAlignment="1" applyProtection="1">
      <alignment horizontal="center" vertical="center"/>
    </xf>
    <xf numFmtId="0" fontId="16" fillId="0" borderId="29" xfId="0" applyFont="1" applyBorder="1" applyAlignment="1">
      <alignment horizontal="center"/>
    </xf>
    <xf numFmtId="0" fontId="22" fillId="3" borderId="55" xfId="3" applyFont="1" applyFill="1" applyBorder="1" applyAlignment="1">
      <alignment vertical="center"/>
    </xf>
    <xf numFmtId="0" fontId="0" fillId="0" borderId="0" xfId="4" applyFont="1" applyBorder="1"/>
    <xf numFmtId="0" fontId="10" fillId="6" borderId="53" xfId="3" applyFont="1" applyFill="1" applyBorder="1" applyAlignment="1">
      <alignment vertical="center"/>
    </xf>
    <xf numFmtId="0" fontId="10" fillId="6" borderId="46" xfId="3" applyFont="1" applyFill="1" applyBorder="1" applyAlignment="1">
      <alignment horizontal="left" vertical="center"/>
    </xf>
    <xf numFmtId="0" fontId="10" fillId="6" borderId="50" xfId="3" applyFont="1" applyFill="1" applyBorder="1" applyAlignment="1">
      <alignment horizontal="left" vertical="center"/>
    </xf>
    <xf numFmtId="0" fontId="10" fillId="6" borderId="12" xfId="3" applyFont="1" applyFill="1" applyBorder="1" applyAlignment="1">
      <alignment vertical="center"/>
    </xf>
    <xf numFmtId="0" fontId="0" fillId="0" borderId="0" xfId="4" applyFont="1"/>
    <xf numFmtId="0" fontId="11" fillId="6" borderId="15" xfId="3" applyFont="1" applyFill="1" applyBorder="1" applyAlignment="1">
      <alignment horizontal="center" vertical="center"/>
    </xf>
    <xf numFmtId="0" fontId="11" fillId="6" borderId="14" xfId="3" applyFont="1" applyFill="1" applyBorder="1" applyAlignment="1">
      <alignment horizontal="center" vertical="center"/>
    </xf>
    <xf numFmtId="0" fontId="11" fillId="6" borderId="48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16" xfId="3" applyFont="1" applyFill="1" applyBorder="1" applyAlignment="1">
      <alignment horizontal="center" vertical="center"/>
    </xf>
    <xf numFmtId="0" fontId="11" fillId="6" borderId="71" xfId="3" applyFont="1" applyFill="1" applyBorder="1" applyAlignment="1">
      <alignment horizontal="center" vertical="center"/>
    </xf>
    <xf numFmtId="0" fontId="11" fillId="6" borderId="72" xfId="3" applyFont="1" applyFill="1" applyBorder="1" applyAlignment="1">
      <alignment horizontal="center" vertical="center"/>
    </xf>
    <xf numFmtId="0" fontId="11" fillId="6" borderId="70" xfId="1" applyFont="1" applyFill="1" applyBorder="1" applyAlignment="1" applyProtection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0" fontId="16" fillId="0" borderId="33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24" xfId="4" applyFont="1" applyBorder="1" applyAlignment="1">
      <alignment horizontal="center" vertical="center"/>
    </xf>
    <xf numFmtId="0" fontId="16" fillId="0" borderId="41" xfId="4" applyFont="1" applyBorder="1" applyAlignment="1">
      <alignment horizontal="center" vertical="center"/>
    </xf>
    <xf numFmtId="0" fontId="16" fillId="0" borderId="35" xfId="4" applyFont="1" applyBorder="1" applyAlignment="1">
      <alignment horizontal="center" vertical="center"/>
    </xf>
    <xf numFmtId="0" fontId="16" fillId="0" borderId="40" xfId="4" applyFont="1" applyBorder="1" applyAlignment="1">
      <alignment horizontal="center" vertical="center"/>
    </xf>
    <xf numFmtId="0" fontId="16" fillId="0" borderId="47" xfId="4" applyFont="1" applyBorder="1" applyAlignment="1">
      <alignment horizontal="center" vertical="center"/>
    </xf>
    <xf numFmtId="0" fontId="16" fillId="0" borderId="7" xfId="4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1" fillId="0" borderId="15" xfId="3" applyFont="1" applyFill="1" applyBorder="1" applyAlignment="1">
      <alignment horizontal="center" vertical="center"/>
    </xf>
    <xf numFmtId="0" fontId="11" fillId="0" borderId="14" xfId="3" applyFont="1" applyFill="1" applyBorder="1" applyAlignment="1">
      <alignment horizontal="center" vertical="center"/>
    </xf>
    <xf numFmtId="0" fontId="11" fillId="7" borderId="14" xfId="3" applyFont="1" applyFill="1" applyBorder="1" applyAlignment="1">
      <alignment horizontal="center" vertical="center"/>
    </xf>
    <xf numFmtId="0" fontId="10" fillId="7" borderId="53" xfId="3" applyFont="1" applyFill="1" applyBorder="1" applyAlignment="1">
      <alignment vertical="center"/>
    </xf>
    <xf numFmtId="0" fontId="12" fillId="7" borderId="48" xfId="1" applyFont="1" applyFill="1" applyBorder="1" applyAlignment="1" applyProtection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33" xfId="4" applyFont="1" applyBorder="1" applyAlignment="1">
      <alignment horizontal="center" vertical="center"/>
    </xf>
    <xf numFmtId="0" fontId="12" fillId="6" borderId="48" xfId="1" applyFont="1" applyFill="1" applyBorder="1" applyAlignment="1" applyProtection="1">
      <alignment horizontal="center" vertical="center"/>
    </xf>
    <xf numFmtId="0" fontId="16" fillId="0" borderId="33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7" xfId="4" applyFont="1" applyBorder="1" applyAlignment="1">
      <alignment horizontal="center" vertical="center"/>
    </xf>
    <xf numFmtId="0" fontId="12" fillId="0" borderId="17" xfId="1" applyFont="1" applyFill="1" applyBorder="1" applyAlignment="1" applyProtection="1">
      <alignment horizontal="center" vertical="center"/>
    </xf>
    <xf numFmtId="0" fontId="11" fillId="6" borderId="48" xfId="1" applyFont="1" applyFill="1" applyBorder="1" applyAlignment="1" applyProtection="1">
      <alignment horizontal="center" vertical="center"/>
    </xf>
    <xf numFmtId="0" fontId="16" fillId="0" borderId="73" xfId="4" applyFont="1" applyBorder="1" applyAlignment="1">
      <alignment horizontal="center"/>
    </xf>
    <xf numFmtId="0" fontId="16" fillId="0" borderId="74" xfId="4" applyFont="1" applyBorder="1" applyAlignment="1">
      <alignment horizontal="center"/>
    </xf>
    <xf numFmtId="0" fontId="20" fillId="0" borderId="74" xfId="4" applyFont="1" applyBorder="1" applyAlignment="1">
      <alignment horizontal="left" vertical="center"/>
    </xf>
    <xf numFmtId="0" fontId="16" fillId="0" borderId="33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24" xfId="4" applyFont="1" applyBorder="1" applyAlignment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0" fontId="12" fillId="6" borderId="5" xfId="1" applyFont="1" applyFill="1" applyBorder="1" applyAlignment="1" applyProtection="1">
      <alignment horizontal="center" vertical="center"/>
    </xf>
    <xf numFmtId="0" fontId="1" fillId="0" borderId="24" xfId="4" applyBorder="1"/>
    <xf numFmtId="0" fontId="12" fillId="6" borderId="70" xfId="1" applyFont="1" applyFill="1" applyBorder="1" applyAlignment="1" applyProtection="1">
      <alignment horizontal="center" vertical="center"/>
    </xf>
    <xf numFmtId="0" fontId="10" fillId="6" borderId="69" xfId="3" applyFont="1" applyFill="1" applyBorder="1" applyAlignment="1">
      <alignment horizontal="left" vertical="center"/>
    </xf>
    <xf numFmtId="0" fontId="16" fillId="0" borderId="24" xfId="5" applyFont="1" applyBorder="1"/>
    <xf numFmtId="0" fontId="16" fillId="0" borderId="25" xfId="5" applyFont="1" applyBorder="1"/>
    <xf numFmtId="0" fontId="16" fillId="0" borderId="27" xfId="5" applyFont="1" applyBorder="1"/>
    <xf numFmtId="0" fontId="16" fillId="0" borderId="28" xfId="5" applyFont="1" applyBorder="1"/>
    <xf numFmtId="0" fontId="16" fillId="0" borderId="29" xfId="5" applyFont="1" applyBorder="1"/>
    <xf numFmtId="0" fontId="0" fillId="0" borderId="0" xfId="5" applyFont="1"/>
    <xf numFmtId="0" fontId="1" fillId="0" borderId="0" xfId="5"/>
    <xf numFmtId="0" fontId="5" fillId="4" borderId="20" xfId="2" applyFont="1" applyFill="1" applyBorder="1" applyAlignment="1">
      <alignment horizontal="center" vertical="center" wrapText="1"/>
    </xf>
    <xf numFmtId="0" fontId="5" fillId="4" borderId="21" xfId="2" applyFont="1" applyFill="1" applyBorder="1" applyAlignment="1">
      <alignment horizontal="center" vertical="center" wrapText="1"/>
    </xf>
    <xf numFmtId="0" fontId="5" fillId="4" borderId="22" xfId="2" applyFont="1" applyFill="1" applyBorder="1" applyAlignment="1">
      <alignment horizontal="center" vertical="center" wrapText="1"/>
    </xf>
    <xf numFmtId="0" fontId="4" fillId="0" borderId="0" xfId="2" applyFont="1" applyAlignment="1">
      <alignment horizontal="left" wrapText="1"/>
    </xf>
    <xf numFmtId="0" fontId="7" fillId="5" borderId="0" xfId="2" quotePrefix="1" applyFont="1" applyFill="1" applyAlignment="1">
      <alignment horizontal="left" wrapText="1"/>
    </xf>
    <xf numFmtId="0" fontId="7" fillId="5" borderId="0" xfId="2" quotePrefix="1" applyFont="1" applyFill="1" applyAlignment="1">
      <alignment horizontal="left"/>
    </xf>
    <xf numFmtId="0" fontId="10" fillId="0" borderId="1" xfId="3" applyFont="1" applyBorder="1" applyAlignment="1">
      <alignment horizontal="center" vertical="center"/>
    </xf>
    <xf numFmtId="0" fontId="10" fillId="0" borderId="58" xfId="3" applyFont="1" applyBorder="1" applyAlignment="1">
      <alignment horizontal="center" vertical="center"/>
    </xf>
    <xf numFmtId="0" fontId="10" fillId="0" borderId="59" xfId="3" applyFont="1" applyBorder="1" applyAlignment="1">
      <alignment horizontal="center" vertical="center"/>
    </xf>
    <xf numFmtId="0" fontId="10" fillId="3" borderId="2" xfId="3" applyFont="1" applyFill="1" applyBorder="1" applyAlignment="1">
      <alignment horizontal="center" vertical="center"/>
    </xf>
    <xf numFmtId="0" fontId="0" fillId="0" borderId="58" xfId="0" applyBorder="1" applyAlignment="1">
      <alignment vertical="center"/>
    </xf>
    <xf numFmtId="0" fontId="0" fillId="0" borderId="59" xfId="0" applyBorder="1" applyAlignment="1">
      <alignment vertical="center"/>
    </xf>
    <xf numFmtId="0" fontId="9" fillId="0" borderId="31" xfId="3" applyFont="1" applyBorder="1" applyAlignment="1">
      <alignment horizontal="center" vertical="center"/>
    </xf>
    <xf numFmtId="0" fontId="19" fillId="0" borderId="33" xfId="4" applyFont="1" applyBorder="1" applyAlignment="1">
      <alignment horizontal="center" vertical="center"/>
    </xf>
    <xf numFmtId="0" fontId="19" fillId="0" borderId="34" xfId="4" applyFont="1" applyBorder="1" applyAlignment="1">
      <alignment horizontal="center" vertical="center"/>
    </xf>
    <xf numFmtId="0" fontId="1" fillId="0" borderId="66" xfId="4" quotePrefix="1" applyFont="1" applyBorder="1" applyAlignment="1">
      <alignment horizontal="center" vertical="center"/>
    </xf>
    <xf numFmtId="0" fontId="1" fillId="0" borderId="64" xfId="4" quotePrefix="1" applyFont="1" applyBorder="1" applyAlignment="1">
      <alignment horizontal="center" vertical="center"/>
    </xf>
    <xf numFmtId="0" fontId="16" fillId="0" borderId="33" xfId="4" applyFont="1" applyBorder="1" applyAlignment="1">
      <alignment horizontal="center" vertical="center"/>
    </xf>
    <xf numFmtId="0" fontId="16" fillId="0" borderId="34" xfId="4" applyFont="1" applyBorder="1" applyAlignment="1">
      <alignment horizontal="center" vertical="center"/>
    </xf>
    <xf numFmtId="0" fontId="16" fillId="0" borderId="24" xfId="4" applyFont="1" applyBorder="1" applyAlignment="1">
      <alignment horizontal="center" vertical="center"/>
    </xf>
    <xf numFmtId="0" fontId="16" fillId="0" borderId="25" xfId="4" applyFont="1" applyBorder="1" applyAlignment="1">
      <alignment horizontal="center" vertical="center"/>
    </xf>
    <xf numFmtId="0" fontId="16" fillId="0" borderId="56" xfId="4" applyFont="1" applyBorder="1" applyAlignment="1">
      <alignment horizontal="center" vertical="center"/>
    </xf>
    <xf numFmtId="0" fontId="16" fillId="0" borderId="41" xfId="4" applyFont="1" applyBorder="1" applyAlignment="1">
      <alignment horizontal="center" vertical="center"/>
    </xf>
    <xf numFmtId="0" fontId="16" fillId="0" borderId="52" xfId="4" applyFont="1" applyBorder="1" applyAlignment="1">
      <alignment horizontal="center" vertical="center"/>
    </xf>
    <xf numFmtId="0" fontId="16" fillId="0" borderId="57" xfId="4" applyFont="1" applyBorder="1" applyAlignment="1">
      <alignment horizontal="center" vertical="center"/>
    </xf>
    <xf numFmtId="0" fontId="16" fillId="0" borderId="6" xfId="4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0" fontId="16" fillId="0" borderId="0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0" fontId="1" fillId="0" borderId="64" xfId="4" quotePrefix="1" applyBorder="1" applyAlignment="1">
      <alignment horizontal="center" vertical="center"/>
    </xf>
    <xf numFmtId="0" fontId="1" fillId="0" borderId="24" xfId="4" applyBorder="1" applyAlignment="1">
      <alignment horizontal="center" vertical="center"/>
    </xf>
    <xf numFmtId="0" fontId="1" fillId="0" borderId="25" xfId="4" applyBorder="1" applyAlignment="1">
      <alignment horizontal="center" vertical="center"/>
    </xf>
    <xf numFmtId="0" fontId="1" fillId="0" borderId="56" xfId="4" applyBorder="1" applyAlignment="1">
      <alignment horizontal="center" vertical="center"/>
    </xf>
    <xf numFmtId="0" fontId="1" fillId="0" borderId="60" xfId="4" applyBorder="1" applyAlignment="1">
      <alignment horizontal="center" vertical="center"/>
    </xf>
    <xf numFmtId="0" fontId="1" fillId="0" borderId="61" xfId="4" applyBorder="1" applyAlignment="1">
      <alignment horizontal="center" vertical="center"/>
    </xf>
    <xf numFmtId="0" fontId="1" fillId="0" borderId="62" xfId="4" applyBorder="1" applyAlignment="1">
      <alignment horizontal="center" vertical="center"/>
    </xf>
    <xf numFmtId="0" fontId="1" fillId="0" borderId="63" xfId="4" quotePrefix="1" applyFont="1" applyBorder="1" applyAlignment="1">
      <alignment horizontal="center" vertical="center"/>
    </xf>
    <xf numFmtId="0" fontId="16" fillId="0" borderId="40" xfId="4" applyFont="1" applyBorder="1" applyAlignment="1">
      <alignment horizontal="center" vertical="center"/>
    </xf>
    <xf numFmtId="0" fontId="16" fillId="0" borderId="47" xfId="4" applyFont="1" applyBorder="1" applyAlignment="1">
      <alignment horizontal="center" vertical="center"/>
    </xf>
    <xf numFmtId="0" fontId="16" fillId="0" borderId="65" xfId="4" applyFont="1" applyBorder="1" applyAlignment="1">
      <alignment horizontal="center" vertical="center"/>
    </xf>
    <xf numFmtId="0" fontId="1" fillId="0" borderId="66" xfId="4" applyBorder="1" applyAlignment="1">
      <alignment horizontal="center" vertical="center"/>
    </xf>
    <xf numFmtId="0" fontId="1" fillId="0" borderId="67" xfId="4" applyBorder="1" applyAlignment="1">
      <alignment horizontal="center" vertical="center"/>
    </xf>
    <xf numFmtId="0" fontId="1" fillId="0" borderId="33" xfId="4" applyBorder="1" applyAlignment="1">
      <alignment horizontal="center" vertical="center"/>
    </xf>
    <xf numFmtId="0" fontId="1" fillId="0" borderId="68" xfId="4" applyBorder="1" applyAlignment="1">
      <alignment horizontal="center" vertical="center"/>
    </xf>
    <xf numFmtId="0" fontId="16" fillId="0" borderId="35" xfId="4" applyFont="1" applyBorder="1" applyAlignment="1">
      <alignment horizontal="center" vertical="center"/>
    </xf>
    <xf numFmtId="0" fontId="16" fillId="0" borderId="7" xfId="4" applyFont="1" applyBorder="1" applyAlignment="1">
      <alignment horizontal="center" vertical="center"/>
    </xf>
    <xf numFmtId="0" fontId="0" fillId="0" borderId="66" xfId="4" quotePrefix="1" applyFont="1" applyBorder="1" applyAlignment="1">
      <alignment horizontal="center" vertical="center"/>
    </xf>
    <xf numFmtId="0" fontId="0" fillId="0" borderId="63" xfId="4" quotePrefix="1" applyFont="1" applyBorder="1" applyAlignment="1">
      <alignment horizontal="center" vertical="center"/>
    </xf>
    <xf numFmtId="0" fontId="21" fillId="0" borderId="33" xfId="4" applyFont="1" applyBorder="1" applyAlignment="1">
      <alignment horizontal="distributed" vertical="center"/>
    </xf>
    <xf numFmtId="0" fontId="21" fillId="0" borderId="34" xfId="4" applyFont="1" applyBorder="1" applyAlignment="1">
      <alignment horizontal="distributed" vertical="center"/>
    </xf>
    <xf numFmtId="0" fontId="16" fillId="0" borderId="24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21" fillId="0" borderId="35" xfId="4" applyFont="1" applyBorder="1" applyAlignment="1">
      <alignment horizontal="distributed" vertical="center"/>
    </xf>
    <xf numFmtId="0" fontId="16" fillId="0" borderId="40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6" fillId="0" borderId="35" xfId="4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16" fillId="0" borderId="33" xfId="4" applyFont="1" applyBorder="1" applyAlignment="1">
      <alignment horizontal="center" vertical="center" wrapText="1"/>
    </xf>
    <xf numFmtId="0" fontId="16" fillId="0" borderId="24" xfId="4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6" fillId="0" borderId="36" xfId="4" applyFont="1" applyBorder="1" applyAlignment="1">
      <alignment horizontal="center" vertical="center"/>
    </xf>
    <xf numFmtId="0" fontId="0" fillId="0" borderId="33" xfId="5" applyFont="1" applyBorder="1" applyAlignment="1">
      <alignment horizontal="center" vertical="center" wrapText="1"/>
    </xf>
    <xf numFmtId="0" fontId="1" fillId="0" borderId="34" xfId="5" applyBorder="1" applyAlignment="1">
      <alignment horizontal="center" vertical="center" wrapText="1"/>
    </xf>
    <xf numFmtId="0" fontId="16" fillId="0" borderId="33" xfId="5" applyFont="1" applyBorder="1" applyAlignment="1">
      <alignment horizontal="center" vertical="center"/>
    </xf>
    <xf numFmtId="0" fontId="16" fillId="0" borderId="34" xfId="5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 wrapText="1"/>
    </xf>
  </cellXfs>
  <cellStyles count="6">
    <cellStyle name="ハイパーリンク" xfId="1" builtinId="8"/>
    <cellStyle name="標準" xfId="0" builtinId="0"/>
    <cellStyle name="標準__６ＰＩ／Ｏ" xfId="2" xr:uid="{00000000-0005-0000-0000-000002000000}"/>
    <cellStyle name="標準__添付１ ＰＩ／Ｏ表" xfId="3" xr:uid="{00000000-0005-0000-0000-000003000000}"/>
    <cellStyle name="標準_PLC1 ＰＩ／Ｏ表" xfId="4" xr:uid="{00000000-0005-0000-0000-000004000000}"/>
    <cellStyle name="標準_PLC1 ＰＩ／Ｏ表 2" xfId="5" xr:uid="{3CFDC105-13B1-4909-AF31-00B7DF15406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2</xdr:col>
          <xdr:colOff>990600</xdr:colOff>
          <xdr:row>18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/>
  <dimension ref="B2:E21"/>
  <sheetViews>
    <sheetView workbookViewId="0">
      <selection activeCell="H24" sqref="H24:H25"/>
    </sheetView>
  </sheetViews>
  <sheetFormatPr defaultColWidth="9" defaultRowHeight="13.5" x14ac:dyDescent="0.15"/>
  <cols>
    <col min="1" max="1" width="3.125" style="1" customWidth="1"/>
    <col min="2" max="2" width="7" style="1" customWidth="1"/>
    <col min="3" max="3" width="16.125" style="1" customWidth="1"/>
    <col min="4" max="4" width="5" style="1" customWidth="1"/>
    <col min="5" max="5" width="56.375" style="1" customWidth="1"/>
    <col min="6" max="16384" width="9" style="1"/>
  </cols>
  <sheetData>
    <row r="2" spans="2:5" ht="24" x14ac:dyDescent="0.25">
      <c r="B2" s="183" t="s">
        <v>0</v>
      </c>
      <c r="C2" s="183"/>
      <c r="D2" s="183"/>
      <c r="E2" s="183"/>
    </row>
    <row r="4" spans="2:5" s="2" customFormat="1" ht="44.25" customHeight="1" x14ac:dyDescent="0.15">
      <c r="B4" s="180" t="s">
        <v>1</v>
      </c>
      <c r="C4" s="181"/>
      <c r="D4" s="181"/>
      <c r="E4" s="182"/>
    </row>
    <row r="9" spans="2:5" ht="14.25" thickBot="1" x14ac:dyDescent="0.2">
      <c r="B9" s="1" t="s">
        <v>2</v>
      </c>
    </row>
    <row r="10" spans="2:5" ht="14.25" thickBot="1" x14ac:dyDescent="0.2">
      <c r="B10" s="3" t="s">
        <v>3</v>
      </c>
      <c r="C10" s="4" t="s">
        <v>4</v>
      </c>
      <c r="D10" s="5" t="s">
        <v>5</v>
      </c>
      <c r="E10" s="6" t="s">
        <v>6</v>
      </c>
    </row>
    <row r="11" spans="2:5" ht="14.25" thickTop="1" x14ac:dyDescent="0.15">
      <c r="B11" s="7" t="s">
        <v>7</v>
      </c>
      <c r="C11" s="8" t="s">
        <v>8</v>
      </c>
      <c r="D11" s="9">
        <v>1</v>
      </c>
      <c r="E11" s="10" t="s">
        <v>9</v>
      </c>
    </row>
    <row r="12" spans="2:5" x14ac:dyDescent="0.15">
      <c r="B12" s="7" t="s">
        <v>7</v>
      </c>
      <c r="C12" s="8" t="s">
        <v>10</v>
      </c>
      <c r="D12" s="9">
        <v>1</v>
      </c>
      <c r="E12" s="10" t="s">
        <v>11</v>
      </c>
    </row>
    <row r="13" spans="2:5" x14ac:dyDescent="0.15">
      <c r="B13" s="7" t="s">
        <v>12</v>
      </c>
      <c r="C13" s="8" t="s">
        <v>13</v>
      </c>
      <c r="D13" s="9" t="s">
        <v>14</v>
      </c>
      <c r="E13" s="10" t="s">
        <v>15</v>
      </c>
    </row>
    <row r="14" spans="2:5" ht="14.25" thickBot="1" x14ac:dyDescent="0.2">
      <c r="B14" s="11" t="s">
        <v>7</v>
      </c>
      <c r="C14" s="12" t="s">
        <v>16</v>
      </c>
      <c r="D14" s="13">
        <v>1</v>
      </c>
      <c r="E14" s="14" t="s">
        <v>17</v>
      </c>
    </row>
    <row r="17" spans="5:5" x14ac:dyDescent="0.15">
      <c r="E17" s="184" t="s">
        <v>18</v>
      </c>
    </row>
    <row r="18" spans="5:5" x14ac:dyDescent="0.15">
      <c r="E18" s="185"/>
    </row>
    <row r="19" spans="5:5" x14ac:dyDescent="0.15">
      <c r="E19" s="15"/>
    </row>
    <row r="20" spans="5:5" x14ac:dyDescent="0.15">
      <c r="E20" s="16" t="s">
        <v>19</v>
      </c>
    </row>
    <row r="21" spans="5:5" x14ac:dyDescent="0.15">
      <c r="E21" s="16" t="s">
        <v>20</v>
      </c>
    </row>
  </sheetData>
  <mergeCells count="3">
    <mergeCell ref="B4:E4"/>
    <mergeCell ref="B2:E2"/>
    <mergeCell ref="E17:E18"/>
  </mergeCells>
  <phoneticPr fontId="2"/>
  <pageMargins left="0.98425196850393704" right="0.78740157480314998" top="0.78740157480314998" bottom="0.39370078740157499" header="0.78740157480314998" footer="0.39370078740157499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 sizeWithCells="1">
              <from>
                <xdr:col>2</xdr:col>
                <xdr:colOff>0</xdr:colOff>
                <xdr:row>15</xdr:row>
                <xdr:rowOff>152400</xdr:rowOff>
              </from>
              <to>
                <xdr:col>2</xdr:col>
                <xdr:colOff>990600</xdr:colOff>
                <xdr:row>18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44"/>
  <sheetViews>
    <sheetView tabSelected="1" view="pageBreakPreview" zoomScale="85" zoomScaleNormal="100" zoomScaleSheetLayoutView="85" workbookViewId="0"/>
  </sheetViews>
  <sheetFormatPr defaultRowHeight="13.5" x14ac:dyDescent="0.15"/>
  <cols>
    <col min="1" max="1" width="2.625" customWidth="1"/>
    <col min="2" max="2" width="7.625" customWidth="1"/>
    <col min="3" max="3" width="3.375" customWidth="1"/>
    <col min="4" max="4" width="7.625" customWidth="1"/>
    <col min="5" max="5" width="27.625" customWidth="1"/>
    <col min="6" max="6" width="7.625" style="82" customWidth="1"/>
    <col min="7" max="7" width="3.375" customWidth="1"/>
    <col min="8" max="8" width="7.625" style="82" customWidth="1"/>
    <col min="9" max="9" width="27.625" style="83" customWidth="1"/>
  </cols>
  <sheetData>
    <row r="1" spans="1:9" ht="9.75" customHeight="1" x14ac:dyDescent="0.15"/>
    <row r="2" spans="1:9" ht="18" customHeight="1" thickBot="1" x14ac:dyDescent="0.2">
      <c r="A2" s="17"/>
      <c r="B2" s="192" t="s">
        <v>431</v>
      </c>
      <c r="C2" s="192"/>
      <c r="D2" s="192"/>
      <c r="E2" s="192"/>
      <c r="F2" s="192"/>
      <c r="G2" s="192"/>
      <c r="H2" s="192"/>
      <c r="I2" s="192"/>
    </row>
    <row r="3" spans="1:9" ht="14.25" thickBot="1" x14ac:dyDescent="0.2">
      <c r="A3" s="18"/>
      <c r="B3" s="186" t="s">
        <v>332</v>
      </c>
      <c r="C3" s="187"/>
      <c r="D3" s="188"/>
      <c r="E3" s="51"/>
      <c r="F3" s="189" t="s">
        <v>332</v>
      </c>
      <c r="G3" s="190"/>
      <c r="H3" s="191"/>
      <c r="I3" s="78"/>
    </row>
    <row r="4" spans="1:9" ht="12.75" customHeight="1" thickTop="1" x14ac:dyDescent="0.15">
      <c r="A4" s="18"/>
      <c r="B4" s="117" t="s">
        <v>21</v>
      </c>
      <c r="C4" s="19" t="s">
        <v>22</v>
      </c>
      <c r="D4" s="20" t="s">
        <v>23</v>
      </c>
      <c r="E4" s="115" t="s">
        <v>565</v>
      </c>
      <c r="F4" s="117" t="s">
        <v>410</v>
      </c>
      <c r="G4" s="21" t="s">
        <v>22</v>
      </c>
      <c r="H4" s="20" t="s">
        <v>333</v>
      </c>
      <c r="I4" s="79" t="s">
        <v>672</v>
      </c>
    </row>
    <row r="5" spans="1:9" ht="12.75" customHeight="1" x14ac:dyDescent="0.15">
      <c r="A5" s="18"/>
      <c r="B5" s="23" t="s">
        <v>24</v>
      </c>
      <c r="C5" s="21" t="s">
        <v>22</v>
      </c>
      <c r="D5" s="22" t="s">
        <v>25</v>
      </c>
      <c r="E5" s="116" t="s">
        <v>134</v>
      </c>
      <c r="F5" s="86" t="s">
        <v>411</v>
      </c>
      <c r="G5" s="21" t="s">
        <v>22</v>
      </c>
      <c r="H5" s="22" t="s">
        <v>334</v>
      </c>
      <c r="I5" s="88" t="s">
        <v>134</v>
      </c>
    </row>
    <row r="6" spans="1:9" ht="12.75" customHeight="1" x14ac:dyDescent="0.15">
      <c r="A6" s="18"/>
      <c r="B6" s="154" t="s">
        <v>705</v>
      </c>
      <c r="C6" s="126" t="s">
        <v>22</v>
      </c>
      <c r="D6" s="127" t="s">
        <v>26</v>
      </c>
      <c r="E6" s="121" t="s">
        <v>563</v>
      </c>
      <c r="F6" s="86" t="s">
        <v>412</v>
      </c>
      <c r="G6" s="21" t="s">
        <v>22</v>
      </c>
      <c r="H6" s="20" t="s">
        <v>335</v>
      </c>
      <c r="I6" s="87" t="s">
        <v>673</v>
      </c>
    </row>
    <row r="7" spans="1:9" ht="12.75" customHeight="1" x14ac:dyDescent="0.15">
      <c r="A7" s="18"/>
      <c r="B7" s="159" t="s">
        <v>706</v>
      </c>
      <c r="C7" s="146" t="s">
        <v>22</v>
      </c>
      <c r="D7" s="147" t="s">
        <v>27</v>
      </c>
      <c r="E7" s="80" t="s">
        <v>566</v>
      </c>
      <c r="F7" s="86" t="s">
        <v>413</v>
      </c>
      <c r="G7" s="21" t="s">
        <v>22</v>
      </c>
      <c r="H7" s="20" t="s">
        <v>336</v>
      </c>
      <c r="I7" s="88" t="s">
        <v>134</v>
      </c>
    </row>
    <row r="8" spans="1:9" ht="12.75" customHeight="1" x14ac:dyDescent="0.15">
      <c r="A8" s="18"/>
      <c r="B8" s="86" t="s">
        <v>28</v>
      </c>
      <c r="C8" s="21" t="s">
        <v>22</v>
      </c>
      <c r="D8" s="20" t="s">
        <v>29</v>
      </c>
      <c r="E8" s="149" t="s">
        <v>134</v>
      </c>
      <c r="F8" s="86" t="s">
        <v>414</v>
      </c>
      <c r="G8" s="21" t="s">
        <v>22</v>
      </c>
      <c r="H8" s="20" t="s">
        <v>337</v>
      </c>
      <c r="I8" s="88" t="s">
        <v>674</v>
      </c>
    </row>
    <row r="9" spans="1:9" ht="12.75" customHeight="1" x14ac:dyDescent="0.15">
      <c r="A9" s="18"/>
      <c r="B9" s="154" t="s">
        <v>30</v>
      </c>
      <c r="C9" s="126" t="s">
        <v>22</v>
      </c>
      <c r="D9" s="127" t="s">
        <v>31</v>
      </c>
      <c r="E9" s="121" t="s">
        <v>563</v>
      </c>
      <c r="F9" s="86" t="s">
        <v>415</v>
      </c>
      <c r="G9" s="21" t="s">
        <v>22</v>
      </c>
      <c r="H9" s="20" t="s">
        <v>338</v>
      </c>
      <c r="I9" s="88" t="s">
        <v>134</v>
      </c>
    </row>
    <row r="10" spans="1:9" ht="12.75" customHeight="1" x14ac:dyDescent="0.15">
      <c r="A10" s="18"/>
      <c r="B10" s="160" t="s">
        <v>761</v>
      </c>
      <c r="C10" s="126" t="s">
        <v>22</v>
      </c>
      <c r="D10" s="127" t="s">
        <v>32</v>
      </c>
      <c r="E10" s="122" t="s">
        <v>133</v>
      </c>
      <c r="F10" s="86" t="s">
        <v>416</v>
      </c>
      <c r="G10" s="21" t="s">
        <v>22</v>
      </c>
      <c r="H10" s="20" t="s">
        <v>339</v>
      </c>
      <c r="I10" s="88" t="s">
        <v>675</v>
      </c>
    </row>
    <row r="11" spans="1:9" ht="12.75" customHeight="1" x14ac:dyDescent="0.15">
      <c r="A11" s="18"/>
      <c r="B11" s="128" t="s">
        <v>33</v>
      </c>
      <c r="C11" s="126" t="s">
        <v>22</v>
      </c>
      <c r="D11" s="127" t="s">
        <v>34</v>
      </c>
      <c r="E11" s="122" t="s">
        <v>529</v>
      </c>
      <c r="F11" s="86" t="s">
        <v>417</v>
      </c>
      <c r="G11" s="21" t="s">
        <v>22</v>
      </c>
      <c r="H11" s="20" t="s">
        <v>340</v>
      </c>
      <c r="I11" s="88" t="s">
        <v>134</v>
      </c>
    </row>
    <row r="12" spans="1:9" ht="12.75" customHeight="1" x14ac:dyDescent="0.15">
      <c r="A12" s="18"/>
      <c r="B12" s="128" t="s">
        <v>35</v>
      </c>
      <c r="C12" s="126" t="s">
        <v>22</v>
      </c>
      <c r="D12" s="127" t="s">
        <v>36</v>
      </c>
      <c r="E12" s="122" t="s">
        <v>529</v>
      </c>
      <c r="F12" s="86" t="s">
        <v>418</v>
      </c>
      <c r="G12" s="21" t="s">
        <v>22</v>
      </c>
      <c r="H12" s="20" t="s">
        <v>341</v>
      </c>
      <c r="I12" s="88" t="s">
        <v>676</v>
      </c>
    </row>
    <row r="13" spans="1:9" ht="12.75" customHeight="1" x14ac:dyDescent="0.15">
      <c r="A13" s="18"/>
      <c r="B13" s="128" t="s">
        <v>37</v>
      </c>
      <c r="C13" s="126" t="s">
        <v>22</v>
      </c>
      <c r="D13" s="127" t="s">
        <v>38</v>
      </c>
      <c r="E13" s="122" t="s">
        <v>133</v>
      </c>
      <c r="F13" s="86" t="s">
        <v>419</v>
      </c>
      <c r="G13" s="21" t="s">
        <v>22</v>
      </c>
      <c r="H13" s="20" t="s">
        <v>342</v>
      </c>
      <c r="I13" s="88" t="s">
        <v>134</v>
      </c>
    </row>
    <row r="14" spans="1:9" ht="12.75" customHeight="1" x14ac:dyDescent="0.15">
      <c r="A14" s="18"/>
      <c r="B14" s="128" t="s">
        <v>39</v>
      </c>
      <c r="C14" s="126" t="s">
        <v>22</v>
      </c>
      <c r="D14" s="127" t="s">
        <v>40</v>
      </c>
      <c r="E14" s="122" t="s">
        <v>133</v>
      </c>
      <c r="F14" s="86" t="s">
        <v>420</v>
      </c>
      <c r="G14" s="21" t="s">
        <v>22</v>
      </c>
      <c r="H14" s="20" t="s">
        <v>343</v>
      </c>
      <c r="I14" s="88" t="s">
        <v>677</v>
      </c>
    </row>
    <row r="15" spans="1:9" ht="12.75" customHeight="1" x14ac:dyDescent="0.15">
      <c r="A15" s="18"/>
      <c r="B15" s="128" t="s">
        <v>41</v>
      </c>
      <c r="C15" s="126" t="s">
        <v>22</v>
      </c>
      <c r="D15" s="127" t="s">
        <v>42</v>
      </c>
      <c r="E15" s="122" t="s">
        <v>707</v>
      </c>
      <c r="F15" s="86" t="s">
        <v>421</v>
      </c>
      <c r="G15" s="21" t="s">
        <v>22</v>
      </c>
      <c r="H15" s="20" t="s">
        <v>344</v>
      </c>
      <c r="I15" s="88" t="s">
        <v>134</v>
      </c>
    </row>
    <row r="16" spans="1:9" ht="12.75" customHeight="1" x14ac:dyDescent="0.15">
      <c r="A16" s="18"/>
      <c r="B16" s="86" t="s">
        <v>43</v>
      </c>
      <c r="C16" s="21" t="s">
        <v>22</v>
      </c>
      <c r="D16" s="20" t="s">
        <v>44</v>
      </c>
      <c r="E16" s="80" t="s">
        <v>564</v>
      </c>
      <c r="F16" s="86" t="s">
        <v>422</v>
      </c>
      <c r="G16" s="21" t="s">
        <v>22</v>
      </c>
      <c r="H16" s="20" t="s">
        <v>345</v>
      </c>
      <c r="I16" s="87" t="s">
        <v>678</v>
      </c>
    </row>
    <row r="17" spans="1:9" ht="12.75" customHeight="1" x14ac:dyDescent="0.15">
      <c r="A17" s="18"/>
      <c r="B17" s="86" t="s">
        <v>45</v>
      </c>
      <c r="C17" s="21" t="s">
        <v>22</v>
      </c>
      <c r="D17" s="20" t="s">
        <v>46</v>
      </c>
      <c r="E17" s="80" t="s">
        <v>133</v>
      </c>
      <c r="F17" s="86" t="s">
        <v>423</v>
      </c>
      <c r="G17" s="21" t="s">
        <v>22</v>
      </c>
      <c r="H17" s="20" t="s">
        <v>346</v>
      </c>
      <c r="I17" s="88" t="s">
        <v>786</v>
      </c>
    </row>
    <row r="18" spans="1:9" ht="12.75" customHeight="1" x14ac:dyDescent="0.15">
      <c r="A18" s="18"/>
      <c r="B18" s="86" t="s">
        <v>47</v>
      </c>
      <c r="C18" s="21" t="s">
        <v>22</v>
      </c>
      <c r="D18" s="20" t="s">
        <v>48</v>
      </c>
      <c r="E18" s="80" t="s">
        <v>134</v>
      </c>
      <c r="F18" s="150" t="s">
        <v>735</v>
      </c>
      <c r="G18" s="21" t="s">
        <v>22</v>
      </c>
      <c r="H18" s="148" t="s">
        <v>347</v>
      </c>
      <c r="I18" s="87" t="s">
        <v>734</v>
      </c>
    </row>
    <row r="19" spans="1:9" ht="12.75" customHeight="1" x14ac:dyDescent="0.15">
      <c r="A19" s="18"/>
      <c r="B19" s="23" t="s">
        <v>49</v>
      </c>
      <c r="C19" s="21" t="s">
        <v>22</v>
      </c>
      <c r="D19" s="20" t="s">
        <v>50</v>
      </c>
      <c r="E19" s="80" t="s">
        <v>348</v>
      </c>
      <c r="F19" s="150" t="s">
        <v>430</v>
      </c>
      <c r="G19" s="21" t="s">
        <v>22</v>
      </c>
      <c r="H19" s="148" t="s">
        <v>357</v>
      </c>
      <c r="I19" s="88" t="s">
        <v>786</v>
      </c>
    </row>
    <row r="20" spans="1:9" ht="12.75" customHeight="1" x14ac:dyDescent="0.15">
      <c r="A20" s="18"/>
      <c r="B20" s="169" t="s">
        <v>51</v>
      </c>
      <c r="C20" s="126" t="s">
        <v>22</v>
      </c>
      <c r="D20" s="127" t="s">
        <v>52</v>
      </c>
      <c r="E20" s="121" t="s">
        <v>563</v>
      </c>
      <c r="F20" s="154" t="s">
        <v>530</v>
      </c>
      <c r="G20" s="126" t="s">
        <v>22</v>
      </c>
      <c r="H20" s="127" t="s">
        <v>358</v>
      </c>
      <c r="I20" s="123" t="s">
        <v>563</v>
      </c>
    </row>
    <row r="21" spans="1:9" ht="12.75" customHeight="1" x14ac:dyDescent="0.15">
      <c r="A21" s="18"/>
      <c r="B21" s="86" t="s">
        <v>53</v>
      </c>
      <c r="C21" s="21" t="s">
        <v>22</v>
      </c>
      <c r="D21" s="20" t="s">
        <v>54</v>
      </c>
      <c r="E21" s="80" t="s">
        <v>622</v>
      </c>
      <c r="F21" s="154" t="s">
        <v>531</v>
      </c>
      <c r="G21" s="126" t="s">
        <v>22</v>
      </c>
      <c r="H21" s="127" t="s">
        <v>359</v>
      </c>
      <c r="I21" s="123" t="s">
        <v>133</v>
      </c>
    </row>
    <row r="22" spans="1:9" ht="12.75" customHeight="1" x14ac:dyDescent="0.15">
      <c r="A22" s="18"/>
      <c r="B22" s="154" t="s">
        <v>55</v>
      </c>
      <c r="C22" s="126" t="s">
        <v>22</v>
      </c>
      <c r="D22" s="127" t="s">
        <v>56</v>
      </c>
      <c r="E22" s="121" t="s">
        <v>563</v>
      </c>
      <c r="F22" s="154" t="s">
        <v>532</v>
      </c>
      <c r="G22" s="126" t="s">
        <v>22</v>
      </c>
      <c r="H22" s="127" t="s">
        <v>360</v>
      </c>
      <c r="I22" s="123" t="s">
        <v>133</v>
      </c>
    </row>
    <row r="23" spans="1:9" ht="12.75" customHeight="1" x14ac:dyDescent="0.15">
      <c r="A23" s="18"/>
      <c r="B23" s="86" t="s">
        <v>57</v>
      </c>
      <c r="C23" s="21" t="s">
        <v>22</v>
      </c>
      <c r="D23" s="20" t="s">
        <v>58</v>
      </c>
      <c r="E23" s="80" t="s">
        <v>635</v>
      </c>
      <c r="F23" s="154" t="s">
        <v>533</v>
      </c>
      <c r="G23" s="126" t="s">
        <v>22</v>
      </c>
      <c r="H23" s="127" t="s">
        <v>361</v>
      </c>
      <c r="I23" s="123" t="s">
        <v>133</v>
      </c>
    </row>
    <row r="24" spans="1:9" ht="12.75" customHeight="1" x14ac:dyDescent="0.15">
      <c r="A24" s="18"/>
      <c r="B24" s="23" t="s">
        <v>59</v>
      </c>
      <c r="C24" s="21" t="s">
        <v>22</v>
      </c>
      <c r="D24" s="20" t="s">
        <v>60</v>
      </c>
      <c r="E24" s="80" t="s">
        <v>636</v>
      </c>
      <c r="F24" s="154" t="s">
        <v>429</v>
      </c>
      <c r="G24" s="126" t="s">
        <v>22</v>
      </c>
      <c r="H24" s="127" t="s">
        <v>362</v>
      </c>
      <c r="I24" s="123" t="s">
        <v>133</v>
      </c>
    </row>
    <row r="25" spans="1:9" ht="12.75" customHeight="1" x14ac:dyDescent="0.15">
      <c r="A25" s="18"/>
      <c r="B25" s="23" t="s">
        <v>61</v>
      </c>
      <c r="C25" s="21" t="s">
        <v>22</v>
      </c>
      <c r="D25" s="20" t="s">
        <v>62</v>
      </c>
      <c r="E25" s="80" t="s">
        <v>637</v>
      </c>
      <c r="F25" s="154" t="s">
        <v>736</v>
      </c>
      <c r="G25" s="126" t="s">
        <v>22</v>
      </c>
      <c r="H25" s="127" t="s">
        <v>363</v>
      </c>
      <c r="I25" s="123" t="s">
        <v>133</v>
      </c>
    </row>
    <row r="26" spans="1:9" ht="12.75" customHeight="1" x14ac:dyDescent="0.15">
      <c r="A26" s="18"/>
      <c r="B26" s="23" t="s">
        <v>63</v>
      </c>
      <c r="C26" s="21" t="s">
        <v>22</v>
      </c>
      <c r="D26" s="20" t="s">
        <v>64</v>
      </c>
      <c r="E26" s="80" t="s">
        <v>133</v>
      </c>
      <c r="F26" s="128" t="s">
        <v>537</v>
      </c>
      <c r="G26" s="126" t="s">
        <v>22</v>
      </c>
      <c r="H26" s="127" t="s">
        <v>364</v>
      </c>
      <c r="I26" s="123" t="s">
        <v>133</v>
      </c>
    </row>
    <row r="27" spans="1:9" ht="12.75" customHeight="1" x14ac:dyDescent="0.15">
      <c r="A27" s="18"/>
      <c r="B27" s="23" t="s">
        <v>65</v>
      </c>
      <c r="C27" s="21" t="s">
        <v>22</v>
      </c>
      <c r="D27" s="20" t="s">
        <v>66</v>
      </c>
      <c r="E27" s="80" t="s">
        <v>711</v>
      </c>
      <c r="F27" s="128" t="s">
        <v>536</v>
      </c>
      <c r="G27" s="126" t="s">
        <v>22</v>
      </c>
      <c r="H27" s="127" t="s">
        <v>365</v>
      </c>
      <c r="I27" s="123" t="s">
        <v>133</v>
      </c>
    </row>
    <row r="28" spans="1:9" ht="12.75" customHeight="1" x14ac:dyDescent="0.15">
      <c r="A28" s="18"/>
      <c r="B28" s="86" t="s">
        <v>67</v>
      </c>
      <c r="C28" s="21" t="s">
        <v>22</v>
      </c>
      <c r="D28" s="20" t="s">
        <v>68</v>
      </c>
      <c r="E28" s="80" t="s">
        <v>134</v>
      </c>
      <c r="F28" s="128" t="s">
        <v>356</v>
      </c>
      <c r="G28" s="126" t="s">
        <v>22</v>
      </c>
      <c r="H28" s="127" t="s">
        <v>366</v>
      </c>
      <c r="I28" s="123" t="s">
        <v>133</v>
      </c>
    </row>
    <row r="29" spans="1:9" ht="12.75" customHeight="1" x14ac:dyDescent="0.15">
      <c r="A29" s="18"/>
      <c r="B29" s="154" t="s">
        <v>69</v>
      </c>
      <c r="C29" s="126" t="s">
        <v>22</v>
      </c>
      <c r="D29" s="127" t="s">
        <v>70</v>
      </c>
      <c r="E29" s="121" t="s">
        <v>563</v>
      </c>
      <c r="F29" s="128" t="s">
        <v>534</v>
      </c>
      <c r="G29" s="126" t="s">
        <v>22</v>
      </c>
      <c r="H29" s="127" t="s">
        <v>367</v>
      </c>
      <c r="I29" s="123" t="s">
        <v>133</v>
      </c>
    </row>
    <row r="30" spans="1:9" ht="12.75" customHeight="1" x14ac:dyDescent="0.15">
      <c r="A30" s="18"/>
      <c r="B30" s="169" t="s">
        <v>71</v>
      </c>
      <c r="C30" s="126" t="s">
        <v>22</v>
      </c>
      <c r="D30" s="127" t="s">
        <v>72</v>
      </c>
      <c r="E30" s="122" t="s">
        <v>133</v>
      </c>
      <c r="F30" s="128" t="s">
        <v>535</v>
      </c>
      <c r="G30" s="126" t="s">
        <v>22</v>
      </c>
      <c r="H30" s="127" t="s">
        <v>368</v>
      </c>
      <c r="I30" s="123" t="s">
        <v>133</v>
      </c>
    </row>
    <row r="31" spans="1:9" ht="12.75" customHeight="1" x14ac:dyDescent="0.15">
      <c r="A31" s="18"/>
      <c r="B31" s="128" t="s">
        <v>73</v>
      </c>
      <c r="C31" s="126" t="s">
        <v>22</v>
      </c>
      <c r="D31" s="127" t="s">
        <v>74</v>
      </c>
      <c r="E31" s="122" t="s">
        <v>133</v>
      </c>
      <c r="F31" s="128" t="s">
        <v>443</v>
      </c>
      <c r="G31" s="126" t="s">
        <v>22</v>
      </c>
      <c r="H31" s="127" t="s">
        <v>369</v>
      </c>
      <c r="I31" s="123" t="s">
        <v>133</v>
      </c>
    </row>
    <row r="32" spans="1:9" ht="12.75" customHeight="1" x14ac:dyDescent="0.15">
      <c r="A32" s="18"/>
      <c r="B32" s="128" t="s">
        <v>75</v>
      </c>
      <c r="C32" s="126" t="s">
        <v>22</v>
      </c>
      <c r="D32" s="130" t="s">
        <v>76</v>
      </c>
      <c r="E32" s="122" t="s">
        <v>134</v>
      </c>
      <c r="F32" s="128" t="s">
        <v>444</v>
      </c>
      <c r="G32" s="126" t="s">
        <v>22</v>
      </c>
      <c r="H32" s="130" t="s">
        <v>370</v>
      </c>
      <c r="I32" s="123" t="s">
        <v>133</v>
      </c>
    </row>
    <row r="33" spans="1:9" ht="12.75" customHeight="1" x14ac:dyDescent="0.15">
      <c r="A33" s="18"/>
      <c r="B33" s="86" t="s">
        <v>77</v>
      </c>
      <c r="C33" s="21" t="s">
        <v>22</v>
      </c>
      <c r="D33" s="20" t="s">
        <v>78</v>
      </c>
      <c r="E33" s="116" t="s">
        <v>638</v>
      </c>
      <c r="F33" s="128" t="s">
        <v>445</v>
      </c>
      <c r="G33" s="126" t="s">
        <v>22</v>
      </c>
      <c r="H33" s="127" t="s">
        <v>361</v>
      </c>
      <c r="I33" s="123" t="s">
        <v>133</v>
      </c>
    </row>
    <row r="34" spans="1:9" ht="12.75" customHeight="1" x14ac:dyDescent="0.15">
      <c r="A34" s="18"/>
      <c r="B34" s="128" t="s">
        <v>79</v>
      </c>
      <c r="C34" s="126" t="s">
        <v>22</v>
      </c>
      <c r="D34" s="127" t="s">
        <v>80</v>
      </c>
      <c r="E34" s="122" t="s">
        <v>639</v>
      </c>
      <c r="F34" s="128" t="s">
        <v>446</v>
      </c>
      <c r="G34" s="126" t="s">
        <v>22</v>
      </c>
      <c r="H34" s="127" t="s">
        <v>491</v>
      </c>
      <c r="I34" s="123" t="s">
        <v>133</v>
      </c>
    </row>
    <row r="35" spans="1:9" ht="12.75" customHeight="1" x14ac:dyDescent="0.15">
      <c r="A35" s="18"/>
      <c r="B35" s="86" t="s">
        <v>81</v>
      </c>
      <c r="C35" s="21" t="s">
        <v>22</v>
      </c>
      <c r="D35" s="20" t="s">
        <v>82</v>
      </c>
      <c r="E35" s="116" t="s">
        <v>661</v>
      </c>
      <c r="F35" s="128" t="s">
        <v>447</v>
      </c>
      <c r="G35" s="126" t="s">
        <v>22</v>
      </c>
      <c r="H35" s="127" t="s">
        <v>492</v>
      </c>
      <c r="I35" s="122" t="s">
        <v>134</v>
      </c>
    </row>
    <row r="36" spans="1:9" ht="12.75" customHeight="1" x14ac:dyDescent="0.15">
      <c r="A36" s="18"/>
      <c r="B36" s="86" t="s">
        <v>83</v>
      </c>
      <c r="C36" s="21" t="s">
        <v>22</v>
      </c>
      <c r="D36" s="20" t="s">
        <v>84</v>
      </c>
      <c r="E36" s="80" t="s">
        <v>134</v>
      </c>
      <c r="F36" s="86" t="s">
        <v>448</v>
      </c>
      <c r="G36" s="21" t="s">
        <v>22</v>
      </c>
      <c r="H36" s="20" t="s">
        <v>493</v>
      </c>
      <c r="I36" s="88" t="s">
        <v>699</v>
      </c>
    </row>
    <row r="37" spans="1:9" ht="12.75" customHeight="1" x14ac:dyDescent="0.15">
      <c r="A37" s="18"/>
      <c r="B37" s="169" t="s">
        <v>85</v>
      </c>
      <c r="C37" s="126" t="s">
        <v>22</v>
      </c>
      <c r="D37" s="127" t="s">
        <v>86</v>
      </c>
      <c r="E37" s="122" t="s">
        <v>563</v>
      </c>
      <c r="F37" s="86" t="s">
        <v>449</v>
      </c>
      <c r="G37" s="21" t="s">
        <v>22</v>
      </c>
      <c r="H37" s="20" t="s">
        <v>494</v>
      </c>
      <c r="I37" s="88" t="s">
        <v>700</v>
      </c>
    </row>
    <row r="38" spans="1:9" ht="12.75" customHeight="1" x14ac:dyDescent="0.15">
      <c r="A38" s="18"/>
      <c r="B38" s="128" t="s">
        <v>87</v>
      </c>
      <c r="C38" s="126" t="s">
        <v>22</v>
      </c>
      <c r="D38" s="127" t="s">
        <v>88</v>
      </c>
      <c r="E38" s="122" t="s">
        <v>133</v>
      </c>
      <c r="F38" s="128" t="s">
        <v>450</v>
      </c>
      <c r="G38" s="126" t="s">
        <v>22</v>
      </c>
      <c r="H38" s="127" t="s">
        <v>495</v>
      </c>
      <c r="I38" s="123" t="s">
        <v>740</v>
      </c>
    </row>
    <row r="39" spans="1:9" ht="12.75" customHeight="1" x14ac:dyDescent="0.15">
      <c r="A39" s="18"/>
      <c r="B39" s="129" t="s">
        <v>89</v>
      </c>
      <c r="C39" s="126" t="s">
        <v>22</v>
      </c>
      <c r="D39" s="127" t="s">
        <v>90</v>
      </c>
      <c r="E39" s="122" t="s">
        <v>133</v>
      </c>
      <c r="F39" s="128" t="s">
        <v>451</v>
      </c>
      <c r="G39" s="126" t="s">
        <v>22</v>
      </c>
      <c r="H39" s="127" t="s">
        <v>496</v>
      </c>
      <c r="I39" s="123" t="s">
        <v>741</v>
      </c>
    </row>
    <row r="40" spans="1:9" ht="12.75" customHeight="1" x14ac:dyDescent="0.15">
      <c r="A40" s="18"/>
      <c r="B40" s="128" t="s">
        <v>91</v>
      </c>
      <c r="C40" s="126" t="s">
        <v>22</v>
      </c>
      <c r="D40" s="127" t="s">
        <v>92</v>
      </c>
      <c r="E40" s="122" t="s">
        <v>133</v>
      </c>
      <c r="F40" s="128" t="s">
        <v>452</v>
      </c>
      <c r="G40" s="126" t="s">
        <v>22</v>
      </c>
      <c r="H40" s="127" t="s">
        <v>497</v>
      </c>
      <c r="I40" s="123" t="s">
        <v>741</v>
      </c>
    </row>
    <row r="41" spans="1:9" ht="12.75" customHeight="1" x14ac:dyDescent="0.15">
      <c r="A41" s="18"/>
      <c r="B41" s="128" t="s">
        <v>93</v>
      </c>
      <c r="C41" s="126" t="s">
        <v>22</v>
      </c>
      <c r="D41" s="127" t="s">
        <v>94</v>
      </c>
      <c r="E41" s="121" t="s">
        <v>134</v>
      </c>
      <c r="F41" s="154" t="s">
        <v>551</v>
      </c>
      <c r="G41" s="126" t="s">
        <v>22</v>
      </c>
      <c r="H41" s="127" t="s">
        <v>498</v>
      </c>
      <c r="I41" s="123" t="s">
        <v>742</v>
      </c>
    </row>
    <row r="42" spans="1:9" ht="12.75" customHeight="1" x14ac:dyDescent="0.15">
      <c r="A42" s="18"/>
      <c r="B42" s="86" t="s">
        <v>95</v>
      </c>
      <c r="C42" s="21" t="s">
        <v>22</v>
      </c>
      <c r="D42" s="20" t="s">
        <v>96</v>
      </c>
      <c r="E42" s="80" t="s">
        <v>662</v>
      </c>
      <c r="F42" s="86" t="s">
        <v>442</v>
      </c>
      <c r="G42" s="21" t="s">
        <v>22</v>
      </c>
      <c r="H42" s="22" t="s">
        <v>499</v>
      </c>
      <c r="I42" s="119" t="s">
        <v>552</v>
      </c>
    </row>
    <row r="43" spans="1:9" ht="12.75" customHeight="1" thickBot="1" x14ac:dyDescent="0.2">
      <c r="A43" s="18"/>
      <c r="B43" s="171" t="s">
        <v>97</v>
      </c>
      <c r="C43" s="131" t="s">
        <v>22</v>
      </c>
      <c r="D43" s="132" t="s">
        <v>98</v>
      </c>
      <c r="E43" s="172" t="s">
        <v>563</v>
      </c>
      <c r="F43" s="133" t="s">
        <v>701</v>
      </c>
      <c r="G43" s="131" t="s">
        <v>22</v>
      </c>
      <c r="H43" s="132" t="s">
        <v>702</v>
      </c>
      <c r="I43" s="124" t="s">
        <v>703</v>
      </c>
    </row>
    <row r="44" spans="1:9" x14ac:dyDescent="0.15">
      <c r="A44" s="18"/>
      <c r="B44" s="24"/>
      <c r="C44" s="24"/>
      <c r="D44" s="24"/>
      <c r="E44" s="25"/>
      <c r="F44" s="25"/>
      <c r="G44" s="25"/>
      <c r="H44" s="25"/>
      <c r="I44" s="81"/>
    </row>
  </sheetData>
  <mergeCells count="3">
    <mergeCell ref="B3:D3"/>
    <mergeCell ref="F3:H3"/>
    <mergeCell ref="B2:I2"/>
  </mergeCells>
  <phoneticPr fontId="17"/>
  <hyperlinks>
    <hyperlink ref="F37" location="'D0730'!A1" display="D0730" xr:uid="{00000000-0004-0000-0100-000000000000}"/>
    <hyperlink ref="F36" location="'D0720'!A1" display="D0720" xr:uid="{00000000-0004-0000-0100-000001000000}"/>
    <hyperlink ref="B42" location="'D0380'!A1" display="D0380" xr:uid="{00000000-0004-0000-0100-000002000000}"/>
    <hyperlink ref="B35" location="'D0310'!A1" display="D0310" xr:uid="{00000000-0004-0000-0100-000003000000}"/>
    <hyperlink ref="B33" location="'D0290'!A1" display="D0290" xr:uid="{00000000-0004-0000-0100-000004000000}"/>
    <hyperlink ref="B28" location="'D0240'!A1" display="D0240" xr:uid="{00000000-0004-0000-0100-000005000000}"/>
    <hyperlink ref="B23" location="'D0190'!A1" display="D0190" xr:uid="{00000000-0004-0000-0100-000006000000}"/>
    <hyperlink ref="B21" location="'D0170'!A1" display="D0170" xr:uid="{00000000-0004-0000-0100-000007000000}"/>
    <hyperlink ref="B18" location="'D0140'!A1" display="D0140" xr:uid="{00000000-0004-0000-0100-000008000000}"/>
    <hyperlink ref="B17" location="'D0130'!A1" display="D0130" xr:uid="{00000000-0004-0000-0100-000009000000}"/>
    <hyperlink ref="B16" location="'D0120'!A1" display="D0120" xr:uid="{00000000-0004-0000-0100-00000A000000}"/>
    <hyperlink ref="B5" location="Ｄ0010!A1" display="Ｄ0010!A1" xr:uid="{00000000-0004-0000-0100-00000B000000}"/>
    <hyperlink ref="B19" location="'D0150'!A1" display="D0150" xr:uid="{00000000-0004-0000-0100-00000C000000}"/>
    <hyperlink ref="B24" location="'D0200'!A1" display="D0200" xr:uid="{00000000-0004-0000-0100-00000D000000}"/>
    <hyperlink ref="B25" location="'D0210'!A1" display="D0210" xr:uid="{00000000-0004-0000-0100-00000E000000}"/>
    <hyperlink ref="B26" location="'D0220'!A1" display="D0220" xr:uid="{00000000-0004-0000-0100-00000F000000}"/>
    <hyperlink ref="B27" location="'D0230'!A1" display="D0230" xr:uid="{00000000-0004-0000-0100-000010000000}"/>
    <hyperlink ref="B4" location="Ｄ0000!A1" display="Ｄ0000!A1" xr:uid="{00000000-0004-0000-0100-000011000000}"/>
    <hyperlink ref="B36" location="'D0320'!A1" display="D0320" xr:uid="{00000000-0004-0000-0100-000012000000}"/>
    <hyperlink ref="B8" location="'D0040'!A1" display="D0040" xr:uid="{00000000-0004-0000-0100-000013000000}"/>
    <hyperlink ref="F27" location="'D0630'!A1" display="D0630" xr:uid="{00000000-0004-0000-0100-000014000000}"/>
    <hyperlink ref="F26" location="'D0620'!A1" display="D0620" xr:uid="{00000000-0004-0000-0100-000015000000}"/>
    <hyperlink ref="F35" location="'D0610'!A1" display="D0610" xr:uid="{00000000-0004-0000-0100-000016000000}"/>
    <hyperlink ref="F34" location="'D0600'!A1" display="D0600" xr:uid="{00000000-0004-0000-0100-000017000000}"/>
    <hyperlink ref="F42" location="'D0780'!A1" display="D0780" xr:uid="{00000000-0004-0000-0100-000018000000}"/>
    <hyperlink ref="F32" location="'D0680'!A1" display="D0680" xr:uid="{00000000-0004-0000-0100-000019000000}"/>
    <hyperlink ref="F17" location="'D0530'!A1" display="D0530" xr:uid="{00000000-0004-0000-0100-00001A000000}"/>
    <hyperlink ref="F16" location="'D0520'!A1" display="D0520" xr:uid="{00000000-0004-0000-0100-00001B000000}"/>
    <hyperlink ref="F15" location="'D0510'!A1" display="D0510" xr:uid="{00000000-0004-0000-0100-00001C000000}"/>
    <hyperlink ref="F14" location="'D0500'!A1" display="D0500" xr:uid="{00000000-0004-0000-0100-00001D000000}"/>
    <hyperlink ref="F13" location="'D0490'!A1" display="D0490" xr:uid="{00000000-0004-0000-0100-00001E000000}"/>
    <hyperlink ref="F12" location="'D0480'!A1" display="D0480" xr:uid="{00000000-0004-0000-0100-00001F000000}"/>
    <hyperlink ref="F11" location="'D0470'!A1" display="D0470" xr:uid="{00000000-0004-0000-0100-000020000000}"/>
    <hyperlink ref="F10" location="'D0460'!A1" display="D0460" xr:uid="{00000000-0004-0000-0100-000021000000}"/>
    <hyperlink ref="F8" location="'D0440'!A1" display="D0440" xr:uid="{00000000-0004-0000-0100-000022000000}"/>
    <hyperlink ref="F7" location="'D0430'!A1" display="D0430" xr:uid="{00000000-0004-0000-0100-000023000000}"/>
    <hyperlink ref="F6" location="'D0420'!A1" display="D0420" xr:uid="{00000000-0004-0000-0100-000024000000}"/>
    <hyperlink ref="F5" location="'D0410'!A1" display="D0410" xr:uid="{00000000-0004-0000-0100-000025000000}"/>
    <hyperlink ref="F4" location="'D0400'!A1" display="D0400" xr:uid="{00000000-0004-0000-0100-000026000000}"/>
    <hyperlink ref="F9" location="'D0450'!A1" display="D0450" xr:uid="{00000000-0004-0000-0100-000027000000}"/>
    <hyperlink ref="B9" location="'D0050'!A1" display="D0050" xr:uid="{00000000-0004-0000-0100-000028000000}"/>
    <hyperlink ref="B20" location="'D0160'!A1" display="D0160" xr:uid="{00000000-0004-0000-0100-000029000000}"/>
    <hyperlink ref="B22" location="'D0180'!A1" display="D0180" xr:uid="{00000000-0004-0000-0100-00002A000000}"/>
    <hyperlink ref="B6" location="'D0020'!A1" display="D0020" xr:uid="{00000000-0004-0000-0100-00002B000000}"/>
    <hyperlink ref="B29" location="'D0250'!A1" display="D0250" xr:uid="{00000000-0004-0000-0100-00002C000000}"/>
    <hyperlink ref="B30" location="'D0260'!A1" display="D0260" xr:uid="{00000000-0004-0000-0100-00002D000000}"/>
    <hyperlink ref="B37" location="'D0330'!A1" display="D0330" xr:uid="{00000000-0004-0000-0100-00002E000000}"/>
    <hyperlink ref="F18" location="'D0540'!A1" display="D0540" xr:uid="{00000000-0004-0000-0100-00002F000000}"/>
    <hyperlink ref="F19" location="'D0550'!A1" display="D0550" xr:uid="{00000000-0004-0000-0100-000030000000}"/>
    <hyperlink ref="F20" location="'D0560'!A1" display="D0560" xr:uid="{00000000-0004-0000-0100-000031000000}"/>
    <hyperlink ref="F21" location="'D0570'!A1" display="D0570" xr:uid="{00000000-0004-0000-0100-000032000000}"/>
    <hyperlink ref="F22" location="'D0580'!A1" display="D0580" xr:uid="{00000000-0004-0000-0100-000033000000}"/>
    <hyperlink ref="F23" location="'D0590'!A1" display="D0590" xr:uid="{00000000-0004-0000-0100-000034000000}"/>
    <hyperlink ref="F24" location="'D0600'!A1" display="D0600" xr:uid="{00000000-0004-0000-0100-000035000000}"/>
    <hyperlink ref="F25" location="'D0610'!A1" display="D0610" xr:uid="{00000000-0004-0000-0100-000036000000}"/>
    <hyperlink ref="F41" location="'D0770'!A1" display="D0770" xr:uid="{00000000-0004-0000-0100-000037000000}"/>
    <hyperlink ref="B43" location="'D0390'!A1" display="D0390" xr:uid="{00000000-0004-0000-0100-000038000000}"/>
    <hyperlink ref="B7" location="'D0030'!A1" display="D0030" xr:uid="{00000000-0004-0000-0100-000039000000}"/>
  </hyperlinks>
  <pageMargins left="0.78740157480314965" right="0.78740157480314965" top="0.59055118110236227" bottom="0.39370078740157483" header="0.59055118110236227" footer="0.39370078740157483"/>
  <pageSetup paperSize="9" orientation="landscape" verticalDpi="300" r:id="rId1"/>
  <headerFooter alignWithMargins="0">
    <oddHeader>&amp;L１１．ＰＩＯ表</oddHeader>
    <oddFooter>&amp;C26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W29"/>
  <sheetViews>
    <sheetView view="pageBreakPreview" zoomScale="85" zoomScaleNormal="100" zoomScaleSheetLayoutView="85" workbookViewId="0">
      <selection activeCell="K28" sqref="K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562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21</v>
      </c>
      <c r="B5" s="57" t="s">
        <v>764</v>
      </c>
      <c r="C5" s="38"/>
      <c r="D5" s="56"/>
      <c r="E5" s="56"/>
      <c r="F5" s="39"/>
      <c r="G5" s="39"/>
      <c r="H5" s="56"/>
      <c r="I5" s="56"/>
      <c r="J5" s="39"/>
      <c r="K5" s="56"/>
      <c r="L5" s="56"/>
      <c r="M5" s="193" t="s">
        <v>463</v>
      </c>
      <c r="N5" s="193" t="s">
        <v>464</v>
      </c>
      <c r="O5" s="56"/>
      <c r="P5" s="39"/>
      <c r="Q5" s="224" t="s">
        <v>143</v>
      </c>
      <c r="R5" s="58" t="s">
        <v>144</v>
      </c>
      <c r="S5" s="217"/>
      <c r="T5" s="218"/>
      <c r="U5" s="218"/>
      <c r="V5" s="218"/>
      <c r="W5" s="219"/>
    </row>
    <row r="6" spans="1:23" ht="22.5" customHeight="1" x14ac:dyDescent="0.15">
      <c r="A6" s="209"/>
      <c r="B6" s="54" t="s">
        <v>150</v>
      </c>
      <c r="C6" s="91"/>
      <c r="D6" s="59"/>
      <c r="E6" s="60"/>
      <c r="F6" s="42"/>
      <c r="G6" s="43"/>
      <c r="H6" s="59"/>
      <c r="I6" s="60"/>
      <c r="J6" s="61"/>
      <c r="K6" s="60"/>
      <c r="L6" s="59"/>
      <c r="M6" s="194"/>
      <c r="N6" s="194"/>
      <c r="O6" s="60"/>
      <c r="P6" s="61"/>
      <c r="Q6" s="198"/>
      <c r="R6" s="62" t="s">
        <v>146</v>
      </c>
      <c r="S6" s="205"/>
      <c r="T6" s="207"/>
      <c r="U6" s="207"/>
      <c r="V6" s="207"/>
      <c r="W6" s="208"/>
    </row>
    <row r="7" spans="1:23" ht="22.5" customHeight="1" x14ac:dyDescent="0.15">
      <c r="A7" s="195" t="s">
        <v>135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205" t="s">
        <v>148</v>
      </c>
      <c r="L7" s="200"/>
      <c r="M7" s="200"/>
      <c r="N7" s="200"/>
      <c r="O7" s="200"/>
      <c r="P7" s="200"/>
      <c r="Q7" s="200"/>
      <c r="R7" s="206"/>
      <c r="S7" s="199" t="s">
        <v>149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1"/>
      <c r="D8" s="73"/>
      <c r="E8" s="73"/>
      <c r="F8" s="73"/>
      <c r="G8" s="72"/>
      <c r="H8" s="73"/>
      <c r="I8" s="73"/>
      <c r="J8" s="74"/>
      <c r="K8" s="91"/>
      <c r="L8" s="65">
        <v>1</v>
      </c>
      <c r="M8" s="65">
        <v>0</v>
      </c>
      <c r="N8" s="108">
        <v>1</v>
      </c>
      <c r="O8" s="41"/>
      <c r="P8" s="65">
        <v>1</v>
      </c>
      <c r="Q8" s="65">
        <v>0</v>
      </c>
      <c r="R8" s="105">
        <v>0</v>
      </c>
      <c r="S8" s="205"/>
      <c r="T8" s="207"/>
      <c r="U8" s="207"/>
      <c r="V8" s="207"/>
      <c r="W8" s="208"/>
    </row>
    <row r="9" spans="1:23" ht="22.5" customHeight="1" x14ac:dyDescent="0.15">
      <c r="A9" s="195" t="s">
        <v>136</v>
      </c>
      <c r="B9" s="67" t="s">
        <v>765</v>
      </c>
      <c r="C9" s="38"/>
      <c r="D9" s="56"/>
      <c r="E9" s="56"/>
      <c r="F9" s="151"/>
      <c r="G9" s="39"/>
      <c r="H9" s="56"/>
      <c r="I9" s="56"/>
      <c r="J9" s="39"/>
      <c r="K9" s="56"/>
      <c r="L9" s="56"/>
      <c r="M9" s="193" t="s">
        <v>463</v>
      </c>
      <c r="N9" s="193" t="s">
        <v>464</v>
      </c>
      <c r="O9" s="56"/>
      <c r="P9" s="39"/>
      <c r="Q9" s="197" t="s">
        <v>143</v>
      </c>
      <c r="R9" s="106" t="s">
        <v>144</v>
      </c>
      <c r="S9" s="199"/>
      <c r="T9" s="200"/>
      <c r="U9" s="200"/>
      <c r="V9" s="200"/>
      <c r="W9" s="201"/>
    </row>
    <row r="10" spans="1:23" ht="22.5" customHeight="1" x14ac:dyDescent="0.15">
      <c r="A10" s="209"/>
      <c r="B10" s="54" t="s">
        <v>145</v>
      </c>
      <c r="C10" s="91"/>
      <c r="D10" s="59"/>
      <c r="E10" s="60"/>
      <c r="F10" s="42"/>
      <c r="G10" s="43"/>
      <c r="H10" s="59"/>
      <c r="I10" s="60"/>
      <c r="J10" s="61"/>
      <c r="K10" s="60"/>
      <c r="L10" s="59"/>
      <c r="M10" s="194"/>
      <c r="N10" s="194"/>
      <c r="O10" s="60"/>
      <c r="P10" s="61"/>
      <c r="Q10" s="198"/>
      <c r="R10" s="62" t="s">
        <v>146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137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205" t="s">
        <v>148</v>
      </c>
      <c r="L11" s="200"/>
      <c r="M11" s="200"/>
      <c r="N11" s="200"/>
      <c r="O11" s="200"/>
      <c r="P11" s="200"/>
      <c r="Q11" s="200"/>
      <c r="R11" s="206"/>
      <c r="S11" s="199" t="s">
        <v>149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42"/>
      <c r="E12" s="42"/>
      <c r="F12" s="42"/>
      <c r="G12" s="43"/>
      <c r="H12" s="42"/>
      <c r="I12" s="42"/>
      <c r="J12" s="61"/>
      <c r="K12" s="41"/>
      <c r="L12" s="63">
        <v>1</v>
      </c>
      <c r="M12" s="63">
        <v>0</v>
      </c>
      <c r="N12" s="64">
        <v>1</v>
      </c>
      <c r="O12" s="41"/>
      <c r="P12" s="63">
        <v>1</v>
      </c>
      <c r="Q12" s="65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138</v>
      </c>
      <c r="B13" s="67" t="s">
        <v>766</v>
      </c>
      <c r="C13" s="38"/>
      <c r="D13" s="56"/>
      <c r="E13" s="56"/>
      <c r="F13" s="39"/>
      <c r="G13" s="39"/>
      <c r="H13" s="56"/>
      <c r="I13" s="56"/>
      <c r="J13" s="39"/>
      <c r="K13" s="56"/>
      <c r="L13" s="56"/>
      <c r="M13" s="193" t="s">
        <v>463</v>
      </c>
      <c r="N13" s="193" t="s">
        <v>464</v>
      </c>
      <c r="O13" s="56"/>
      <c r="P13" s="39"/>
      <c r="Q13" s="197" t="s">
        <v>143</v>
      </c>
      <c r="R13" s="106" t="s">
        <v>144</v>
      </c>
      <c r="S13" s="199"/>
      <c r="T13" s="200"/>
      <c r="U13" s="200"/>
      <c r="V13" s="200"/>
      <c r="W13" s="201"/>
    </row>
    <row r="14" spans="1:23" ht="22.5" customHeight="1" x14ac:dyDescent="0.15">
      <c r="A14" s="196"/>
      <c r="B14" s="54" t="s">
        <v>145</v>
      </c>
      <c r="C14" s="91"/>
      <c r="D14" s="59"/>
      <c r="E14" s="60"/>
      <c r="F14" s="42"/>
      <c r="G14" s="43"/>
      <c r="H14" s="59"/>
      <c r="I14" s="60"/>
      <c r="J14" s="61"/>
      <c r="K14" s="60"/>
      <c r="L14" s="59"/>
      <c r="M14" s="194"/>
      <c r="N14" s="194"/>
      <c r="O14" s="60"/>
      <c r="P14" s="61"/>
      <c r="Q14" s="198"/>
      <c r="R14" s="62" t="s">
        <v>146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139</v>
      </c>
      <c r="B15" s="197" t="s">
        <v>147</v>
      </c>
      <c r="C15" s="38"/>
      <c r="D15" s="39"/>
      <c r="E15" s="39"/>
      <c r="F15" s="39"/>
      <c r="G15" s="39"/>
      <c r="H15" s="39"/>
      <c r="I15" s="39"/>
      <c r="J15" s="39"/>
      <c r="K15" s="205" t="s">
        <v>148</v>
      </c>
      <c r="L15" s="200"/>
      <c r="M15" s="200"/>
      <c r="N15" s="200"/>
      <c r="O15" s="200"/>
      <c r="P15" s="200"/>
      <c r="Q15" s="200"/>
      <c r="R15" s="206"/>
      <c r="S15" s="199" t="s">
        <v>149</v>
      </c>
      <c r="T15" s="200"/>
      <c r="U15" s="200"/>
      <c r="V15" s="200"/>
      <c r="W15" s="201"/>
    </row>
    <row r="16" spans="1:23" ht="22.5" customHeight="1" x14ac:dyDescent="0.15">
      <c r="A16" s="196"/>
      <c r="B16" s="194"/>
      <c r="C16" s="41"/>
      <c r="D16" s="42"/>
      <c r="E16" s="42"/>
      <c r="F16" s="42"/>
      <c r="G16" s="43"/>
      <c r="H16" s="42"/>
      <c r="I16" s="42"/>
      <c r="J16" s="61"/>
      <c r="K16" s="41"/>
      <c r="L16" s="63">
        <v>1</v>
      </c>
      <c r="M16" s="63">
        <v>0</v>
      </c>
      <c r="N16" s="64">
        <v>1</v>
      </c>
      <c r="O16" s="41"/>
      <c r="P16" s="63">
        <v>1</v>
      </c>
      <c r="Q16" s="65">
        <v>0</v>
      </c>
      <c r="R16" s="66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140</v>
      </c>
      <c r="B17" s="67" t="s">
        <v>767</v>
      </c>
      <c r="C17" s="38"/>
      <c r="D17" s="56"/>
      <c r="E17" s="56"/>
      <c r="F17" s="39"/>
      <c r="G17" s="39"/>
      <c r="H17" s="56"/>
      <c r="I17" s="56"/>
      <c r="J17" s="39"/>
      <c r="K17" s="56"/>
      <c r="L17" s="56"/>
      <c r="M17" s="193" t="s">
        <v>463</v>
      </c>
      <c r="N17" s="193" t="s">
        <v>464</v>
      </c>
      <c r="O17" s="56"/>
      <c r="P17" s="39"/>
      <c r="Q17" s="197" t="s">
        <v>143</v>
      </c>
      <c r="R17" s="106" t="s">
        <v>144</v>
      </c>
      <c r="S17" s="199"/>
      <c r="T17" s="200"/>
      <c r="U17" s="200"/>
      <c r="V17" s="200"/>
      <c r="W17" s="201"/>
    </row>
    <row r="18" spans="1:23" ht="22.5" customHeight="1" x14ac:dyDescent="0.15">
      <c r="A18" s="196"/>
      <c r="B18" s="54" t="s">
        <v>145</v>
      </c>
      <c r="C18" s="91"/>
      <c r="D18" s="59"/>
      <c r="E18" s="60"/>
      <c r="F18" s="42"/>
      <c r="G18" s="43"/>
      <c r="H18" s="59"/>
      <c r="I18" s="60"/>
      <c r="J18" s="61"/>
      <c r="K18" s="60"/>
      <c r="L18" s="59"/>
      <c r="M18" s="194"/>
      <c r="N18" s="194"/>
      <c r="O18" s="60"/>
      <c r="P18" s="61"/>
      <c r="Q18" s="198"/>
      <c r="R18" s="62" t="s">
        <v>146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141</v>
      </c>
      <c r="B19" s="197" t="s">
        <v>147</v>
      </c>
      <c r="C19" s="38"/>
      <c r="D19" s="39"/>
      <c r="E19" s="39"/>
      <c r="F19" s="39"/>
      <c r="G19" s="39"/>
      <c r="H19" s="39"/>
      <c r="I19" s="39"/>
      <c r="J19" s="39"/>
      <c r="K19" s="205" t="s">
        <v>148</v>
      </c>
      <c r="L19" s="200"/>
      <c r="M19" s="200"/>
      <c r="N19" s="200"/>
      <c r="O19" s="200"/>
      <c r="P19" s="200"/>
      <c r="Q19" s="200"/>
      <c r="R19" s="206"/>
      <c r="S19" s="199" t="s">
        <v>149</v>
      </c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42"/>
      <c r="E20" s="42"/>
      <c r="F20" s="42"/>
      <c r="G20" s="43"/>
      <c r="H20" s="42"/>
      <c r="I20" s="42"/>
      <c r="J20" s="61"/>
      <c r="K20" s="41"/>
      <c r="L20" s="63">
        <v>1</v>
      </c>
      <c r="M20" s="63">
        <v>0</v>
      </c>
      <c r="N20" s="64">
        <v>1</v>
      </c>
      <c r="O20" s="41"/>
      <c r="P20" s="63">
        <v>1</v>
      </c>
      <c r="Q20" s="65">
        <v>0</v>
      </c>
      <c r="R20" s="66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142</v>
      </c>
      <c r="B21" s="67" t="s">
        <v>768</v>
      </c>
      <c r="C21" s="38"/>
      <c r="D21" s="56"/>
      <c r="E21" s="56"/>
      <c r="F21" s="39"/>
      <c r="G21" s="39"/>
      <c r="H21" s="56"/>
      <c r="I21" s="56"/>
      <c r="J21" s="39"/>
      <c r="K21" s="56"/>
      <c r="L21" s="56"/>
      <c r="M21" s="193" t="s">
        <v>463</v>
      </c>
      <c r="N21" s="193" t="s">
        <v>464</v>
      </c>
      <c r="O21" s="56"/>
      <c r="P21" s="39"/>
      <c r="Q21" s="197" t="s">
        <v>143</v>
      </c>
      <c r="R21" s="106" t="s">
        <v>144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54" t="s">
        <v>145</v>
      </c>
      <c r="C22" s="91"/>
      <c r="D22" s="59"/>
      <c r="E22" s="60"/>
      <c r="F22" s="42"/>
      <c r="G22" s="43"/>
      <c r="H22" s="59"/>
      <c r="I22" s="60"/>
      <c r="J22" s="61"/>
      <c r="K22" s="60"/>
      <c r="L22" s="59"/>
      <c r="M22" s="194"/>
      <c r="N22" s="194"/>
      <c r="O22" s="60"/>
      <c r="P22" s="61"/>
      <c r="Q22" s="198"/>
      <c r="R22" s="62" t="s">
        <v>146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23</v>
      </c>
      <c r="B23" s="197" t="s">
        <v>147</v>
      </c>
      <c r="C23" s="38"/>
      <c r="D23" s="39"/>
      <c r="E23" s="39"/>
      <c r="F23" s="39"/>
      <c r="G23" s="39"/>
      <c r="H23" s="39"/>
      <c r="I23" s="39"/>
      <c r="J23" s="39"/>
      <c r="K23" s="205" t="s">
        <v>148</v>
      </c>
      <c r="L23" s="200"/>
      <c r="M23" s="200"/>
      <c r="N23" s="200"/>
      <c r="O23" s="200"/>
      <c r="P23" s="200"/>
      <c r="Q23" s="200"/>
      <c r="R23" s="206"/>
      <c r="S23" s="199" t="s">
        <v>149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61"/>
      <c r="K24" s="41"/>
      <c r="L24" s="63">
        <v>1</v>
      </c>
      <c r="M24" s="63">
        <v>0</v>
      </c>
      <c r="N24" s="64">
        <v>1</v>
      </c>
      <c r="O24" s="41"/>
      <c r="P24" s="63">
        <v>1</v>
      </c>
      <c r="Q24" s="63">
        <v>0</v>
      </c>
      <c r="R24" s="66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27">
        <v>45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8">
    <mergeCell ref="S3:W4"/>
    <mergeCell ref="A5:A6"/>
    <mergeCell ref="S5:W6"/>
    <mergeCell ref="A3:A4"/>
    <mergeCell ref="B3:B4"/>
    <mergeCell ref="M5:M6"/>
    <mergeCell ref="N5:N6"/>
    <mergeCell ref="Q5:Q6"/>
    <mergeCell ref="S7:W8"/>
    <mergeCell ref="A9:A10"/>
    <mergeCell ref="S9:W10"/>
    <mergeCell ref="Q9:Q10"/>
    <mergeCell ref="A7:A8"/>
    <mergeCell ref="B7:B8"/>
    <mergeCell ref="M9:M10"/>
    <mergeCell ref="N9:N10"/>
    <mergeCell ref="K7:R7"/>
    <mergeCell ref="S11:W12"/>
    <mergeCell ref="A13:A14"/>
    <mergeCell ref="S13:W14"/>
    <mergeCell ref="K11:R11"/>
    <mergeCell ref="A11:A12"/>
    <mergeCell ref="B11:B12"/>
    <mergeCell ref="M13:M14"/>
    <mergeCell ref="N13:N14"/>
    <mergeCell ref="A19:A20"/>
    <mergeCell ref="B19:B20"/>
    <mergeCell ref="S19:W20"/>
    <mergeCell ref="Q13:Q14"/>
    <mergeCell ref="K15:R15"/>
    <mergeCell ref="Q17:Q18"/>
    <mergeCell ref="K19:R19"/>
    <mergeCell ref="B15:B16"/>
    <mergeCell ref="S15:W16"/>
    <mergeCell ref="A17:A18"/>
    <mergeCell ref="S17:W18"/>
    <mergeCell ref="A15:A16"/>
    <mergeCell ref="M17:M18"/>
    <mergeCell ref="N17:N18"/>
    <mergeCell ref="M21:M22"/>
    <mergeCell ref="N21:N22"/>
    <mergeCell ref="A23:A24"/>
    <mergeCell ref="B23:B24"/>
    <mergeCell ref="S23:W24"/>
    <mergeCell ref="A21:A22"/>
    <mergeCell ref="S21:W22"/>
    <mergeCell ref="K23:R23"/>
    <mergeCell ref="Q21:Q22"/>
  </mergeCells>
  <phoneticPr fontId="18"/>
  <hyperlinks>
    <hyperlink ref="A1" location="レジスタ概要!A1" display="レジスタ概要!A1" xr:uid="{00000000-0004-0000-02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29"/>
  <sheetViews>
    <sheetView view="pageBreakPreview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152</v>
      </c>
      <c r="B5" s="57" t="s">
        <v>769</v>
      </c>
      <c r="C5" s="38"/>
      <c r="D5" s="56"/>
      <c r="E5" s="56"/>
      <c r="F5" s="39"/>
      <c r="G5" s="39"/>
      <c r="H5" s="56"/>
      <c r="I5" s="56"/>
      <c r="J5" s="39"/>
      <c r="K5" s="56"/>
      <c r="L5" s="56"/>
      <c r="M5" s="193" t="s">
        <v>463</v>
      </c>
      <c r="N5" s="193" t="s">
        <v>464</v>
      </c>
      <c r="O5" s="56"/>
      <c r="P5" s="39"/>
      <c r="Q5" s="224" t="s">
        <v>143</v>
      </c>
      <c r="R5" s="58" t="s">
        <v>144</v>
      </c>
      <c r="S5" s="217"/>
      <c r="T5" s="218"/>
      <c r="U5" s="218"/>
      <c r="V5" s="218"/>
      <c r="W5" s="219"/>
    </row>
    <row r="6" spans="1:23" ht="22.5" customHeight="1" x14ac:dyDescent="0.15">
      <c r="A6" s="209"/>
      <c r="B6" s="54" t="s">
        <v>145</v>
      </c>
      <c r="C6" s="91"/>
      <c r="D6" s="59"/>
      <c r="E6" s="60"/>
      <c r="F6" s="42"/>
      <c r="G6" s="43"/>
      <c r="H6" s="59"/>
      <c r="I6" s="60"/>
      <c r="J6" s="61"/>
      <c r="K6" s="60"/>
      <c r="L6" s="59"/>
      <c r="M6" s="194"/>
      <c r="N6" s="194"/>
      <c r="O6" s="60"/>
      <c r="P6" s="61"/>
      <c r="Q6" s="198"/>
      <c r="R6" s="62" t="s">
        <v>146</v>
      </c>
      <c r="S6" s="205"/>
      <c r="T6" s="207"/>
      <c r="U6" s="207"/>
      <c r="V6" s="207"/>
      <c r="W6" s="208"/>
    </row>
    <row r="7" spans="1:23" ht="22.5" customHeight="1" x14ac:dyDescent="0.15">
      <c r="A7" s="195" t="s">
        <v>153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205" t="s">
        <v>148</v>
      </c>
      <c r="L7" s="200"/>
      <c r="M7" s="200"/>
      <c r="N7" s="200"/>
      <c r="O7" s="200"/>
      <c r="P7" s="200"/>
      <c r="Q7" s="200"/>
      <c r="R7" s="206"/>
      <c r="S7" s="199" t="s">
        <v>149</v>
      </c>
      <c r="T7" s="200"/>
      <c r="U7" s="200"/>
      <c r="V7" s="200"/>
      <c r="W7" s="201"/>
    </row>
    <row r="8" spans="1:23" ht="22.5" customHeight="1" x14ac:dyDescent="0.15">
      <c r="A8" s="209"/>
      <c r="B8" s="225"/>
      <c r="C8" s="91"/>
      <c r="D8" s="73"/>
      <c r="E8" s="73"/>
      <c r="F8" s="73"/>
      <c r="G8" s="72"/>
      <c r="H8" s="73"/>
      <c r="I8" s="73"/>
      <c r="J8" s="74"/>
      <c r="K8" s="91"/>
      <c r="L8" s="65">
        <v>1</v>
      </c>
      <c r="M8" s="65">
        <v>0</v>
      </c>
      <c r="N8" s="104">
        <v>1</v>
      </c>
      <c r="O8" s="41"/>
      <c r="P8" s="65">
        <v>1</v>
      </c>
      <c r="Q8" s="65">
        <v>0</v>
      </c>
      <c r="R8" s="105">
        <v>0</v>
      </c>
      <c r="S8" s="205"/>
      <c r="T8" s="207"/>
      <c r="U8" s="207"/>
      <c r="V8" s="207"/>
      <c r="W8" s="208"/>
    </row>
    <row r="9" spans="1:23" ht="22.5" customHeight="1" x14ac:dyDescent="0.15">
      <c r="A9" s="195" t="s">
        <v>154</v>
      </c>
      <c r="B9" s="53" t="s">
        <v>770</v>
      </c>
      <c r="C9" s="38"/>
      <c r="D9" s="56"/>
      <c r="E9" s="56"/>
      <c r="F9" s="39"/>
      <c r="G9" s="39"/>
      <c r="H9" s="56"/>
      <c r="I9" s="56"/>
      <c r="J9" s="39"/>
      <c r="K9" s="56"/>
      <c r="L9" s="56"/>
      <c r="M9" s="193" t="s">
        <v>463</v>
      </c>
      <c r="N9" s="193" t="s">
        <v>464</v>
      </c>
      <c r="O9" s="56"/>
      <c r="P9" s="39"/>
      <c r="Q9" s="197" t="s">
        <v>143</v>
      </c>
      <c r="R9" s="106" t="s">
        <v>144</v>
      </c>
      <c r="S9" s="199" t="s">
        <v>772</v>
      </c>
      <c r="T9" s="200"/>
      <c r="U9" s="200"/>
      <c r="V9" s="200"/>
      <c r="W9" s="201"/>
    </row>
    <row r="10" spans="1:23" ht="22.5" customHeight="1" x14ac:dyDescent="0.15">
      <c r="A10" s="209"/>
      <c r="B10" s="54" t="s">
        <v>145</v>
      </c>
      <c r="C10" s="91"/>
      <c r="D10" s="59"/>
      <c r="E10" s="60"/>
      <c r="F10" s="42"/>
      <c r="G10" s="43"/>
      <c r="H10" s="59"/>
      <c r="I10" s="60"/>
      <c r="J10" s="61"/>
      <c r="K10" s="60"/>
      <c r="L10" s="59"/>
      <c r="M10" s="194"/>
      <c r="N10" s="194"/>
      <c r="O10" s="60"/>
      <c r="P10" s="61"/>
      <c r="Q10" s="198"/>
      <c r="R10" s="62" t="s">
        <v>146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155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205" t="s">
        <v>148</v>
      </c>
      <c r="L11" s="200"/>
      <c r="M11" s="200"/>
      <c r="N11" s="200"/>
      <c r="O11" s="200"/>
      <c r="P11" s="200"/>
      <c r="Q11" s="200"/>
      <c r="R11" s="206"/>
      <c r="S11" s="199" t="s">
        <v>149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91"/>
      <c r="D12" s="73"/>
      <c r="E12" s="73"/>
      <c r="F12" s="73"/>
      <c r="G12" s="72"/>
      <c r="H12" s="73"/>
      <c r="I12" s="73"/>
      <c r="J12" s="74"/>
      <c r="K12" s="91"/>
      <c r="L12" s="65">
        <v>1</v>
      </c>
      <c r="M12" s="65">
        <v>0</v>
      </c>
      <c r="N12" s="104">
        <v>1</v>
      </c>
      <c r="O12" s="41"/>
      <c r="P12" s="65">
        <v>1</v>
      </c>
      <c r="Q12" s="65">
        <v>0</v>
      </c>
      <c r="R12" s="105">
        <v>0</v>
      </c>
      <c r="S12" s="205"/>
      <c r="T12" s="207"/>
      <c r="U12" s="207"/>
      <c r="V12" s="207"/>
      <c r="W12" s="208"/>
    </row>
    <row r="13" spans="1:23" ht="22.5" customHeight="1" x14ac:dyDescent="0.15">
      <c r="A13" s="195" t="s">
        <v>156</v>
      </c>
      <c r="B13" s="53" t="s">
        <v>771</v>
      </c>
      <c r="C13" s="38"/>
      <c r="D13" s="56"/>
      <c r="E13" s="56"/>
      <c r="F13" s="39"/>
      <c r="G13" s="39"/>
      <c r="H13" s="56"/>
      <c r="I13" s="56"/>
      <c r="J13" s="39"/>
      <c r="K13" s="56"/>
      <c r="L13" s="56"/>
      <c r="M13" s="193" t="s">
        <v>463</v>
      </c>
      <c r="N13" s="193" t="s">
        <v>464</v>
      </c>
      <c r="O13" s="56"/>
      <c r="P13" s="39"/>
      <c r="Q13" s="197" t="s">
        <v>143</v>
      </c>
      <c r="R13" s="106" t="s">
        <v>144</v>
      </c>
      <c r="S13" s="199" t="s">
        <v>772</v>
      </c>
      <c r="T13" s="200"/>
      <c r="U13" s="200"/>
      <c r="V13" s="200"/>
      <c r="W13" s="201"/>
    </row>
    <row r="14" spans="1:23" ht="22.5" customHeight="1" x14ac:dyDescent="0.15">
      <c r="A14" s="196"/>
      <c r="B14" s="54" t="s">
        <v>145</v>
      </c>
      <c r="C14" s="91"/>
      <c r="D14" s="59"/>
      <c r="E14" s="60"/>
      <c r="F14" s="42"/>
      <c r="G14" s="43"/>
      <c r="H14" s="59"/>
      <c r="I14" s="60"/>
      <c r="J14" s="61"/>
      <c r="K14" s="60"/>
      <c r="L14" s="59"/>
      <c r="M14" s="194"/>
      <c r="N14" s="194"/>
      <c r="O14" s="60"/>
      <c r="P14" s="61"/>
      <c r="Q14" s="198"/>
      <c r="R14" s="62" t="s">
        <v>146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157</v>
      </c>
      <c r="B15" s="197" t="s">
        <v>147</v>
      </c>
      <c r="C15" s="38"/>
      <c r="D15" s="39"/>
      <c r="E15" s="39"/>
      <c r="F15" s="39"/>
      <c r="G15" s="39"/>
      <c r="H15" s="39"/>
      <c r="I15" s="39"/>
      <c r="J15" s="39"/>
      <c r="K15" s="205" t="s">
        <v>148</v>
      </c>
      <c r="L15" s="200"/>
      <c r="M15" s="200"/>
      <c r="N15" s="200"/>
      <c r="O15" s="200"/>
      <c r="P15" s="200"/>
      <c r="Q15" s="200"/>
      <c r="R15" s="206"/>
      <c r="S15" s="199" t="s">
        <v>149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91"/>
      <c r="D16" s="73"/>
      <c r="E16" s="73"/>
      <c r="F16" s="73"/>
      <c r="G16" s="72"/>
      <c r="H16" s="73"/>
      <c r="I16" s="73"/>
      <c r="J16" s="74"/>
      <c r="K16" s="91"/>
      <c r="L16" s="65">
        <v>1</v>
      </c>
      <c r="M16" s="65">
        <v>0</v>
      </c>
      <c r="N16" s="104">
        <v>1</v>
      </c>
      <c r="O16" s="41"/>
      <c r="P16" s="65">
        <v>1</v>
      </c>
      <c r="Q16" s="65">
        <v>0</v>
      </c>
      <c r="R16" s="105">
        <v>0</v>
      </c>
      <c r="S16" s="205"/>
      <c r="T16" s="207"/>
      <c r="U16" s="207"/>
      <c r="V16" s="207"/>
      <c r="W16" s="208"/>
    </row>
    <row r="17" spans="1:23" ht="22.5" customHeight="1" x14ac:dyDescent="0.15">
      <c r="A17" s="195" t="s">
        <v>158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195" t="s">
        <v>159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195" t="s">
        <v>160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195" t="s">
        <v>161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D0000!J28+1</f>
        <v>46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2">
    <mergeCell ref="S15:W16"/>
    <mergeCell ref="A17:A18"/>
    <mergeCell ref="A23:A24"/>
    <mergeCell ref="B23:B24"/>
    <mergeCell ref="S23:W24"/>
    <mergeCell ref="A19:A20"/>
    <mergeCell ref="B19:B20"/>
    <mergeCell ref="S17:W18"/>
    <mergeCell ref="A21:A22"/>
    <mergeCell ref="K15:R15"/>
    <mergeCell ref="A15:A16"/>
    <mergeCell ref="B15:B16"/>
    <mergeCell ref="S19:W20"/>
    <mergeCell ref="S21:W22"/>
    <mergeCell ref="B17:B18"/>
    <mergeCell ref="B21:B22"/>
    <mergeCell ref="A13:A14"/>
    <mergeCell ref="S13:W14"/>
    <mergeCell ref="M13:M14"/>
    <mergeCell ref="N13:N14"/>
    <mergeCell ref="Q13:Q14"/>
    <mergeCell ref="S9:W10"/>
    <mergeCell ref="N9:N10"/>
    <mergeCell ref="A7:A8"/>
    <mergeCell ref="A11:A12"/>
    <mergeCell ref="B11:B12"/>
    <mergeCell ref="K11:R11"/>
    <mergeCell ref="S11:W12"/>
    <mergeCell ref="B7:B8"/>
    <mergeCell ref="K7:R7"/>
    <mergeCell ref="S7:W8"/>
    <mergeCell ref="A9:A10"/>
    <mergeCell ref="M9:M10"/>
    <mergeCell ref="Q9:Q10"/>
    <mergeCell ref="A3:A4"/>
    <mergeCell ref="B3:B4"/>
    <mergeCell ref="S3:W4"/>
    <mergeCell ref="A5:A6"/>
    <mergeCell ref="M5:M6"/>
    <mergeCell ref="N5:N6"/>
    <mergeCell ref="Q5:Q6"/>
    <mergeCell ref="S5:W6"/>
  </mergeCells>
  <phoneticPr fontId="18"/>
  <hyperlinks>
    <hyperlink ref="A1" location="レジスタ概要!A1" display="レジスタ概要!A1" xr:uid="{00000000-0004-0000-03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W29"/>
  <sheetViews>
    <sheetView view="pageBreakPreview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743</v>
      </c>
      <c r="B5" s="197" t="s">
        <v>151</v>
      </c>
      <c r="C5" s="38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40"/>
      <c r="S5" s="199"/>
      <c r="T5" s="200"/>
      <c r="U5" s="200"/>
      <c r="V5" s="200"/>
      <c r="W5" s="201"/>
    </row>
    <row r="6" spans="1:23" ht="22.5" customHeight="1" x14ac:dyDescent="0.15">
      <c r="A6" s="209"/>
      <c r="B6" s="198"/>
      <c r="C6" s="41"/>
      <c r="D6" s="42"/>
      <c r="E6" s="42"/>
      <c r="F6" s="42"/>
      <c r="G6" s="43"/>
      <c r="H6" s="42"/>
      <c r="I6" s="42"/>
      <c r="J6" s="42"/>
      <c r="K6" s="43"/>
      <c r="L6" s="42"/>
      <c r="M6" s="42"/>
      <c r="N6" s="42"/>
      <c r="O6" s="43"/>
      <c r="P6" s="42"/>
      <c r="Q6" s="42"/>
      <c r="R6" s="44"/>
      <c r="S6" s="202"/>
      <c r="T6" s="203"/>
      <c r="U6" s="203"/>
      <c r="V6" s="203"/>
      <c r="W6" s="204"/>
    </row>
    <row r="7" spans="1:23" ht="22.5" customHeight="1" x14ac:dyDescent="0.15">
      <c r="A7" s="226" t="s">
        <v>744</v>
      </c>
      <c r="B7" s="197" t="s">
        <v>151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40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42"/>
      <c r="K8" s="43"/>
      <c r="L8" s="42"/>
      <c r="M8" s="42"/>
      <c r="N8" s="42"/>
      <c r="O8" s="43"/>
      <c r="P8" s="42"/>
      <c r="Q8" s="42"/>
      <c r="R8" s="44"/>
      <c r="S8" s="202"/>
      <c r="T8" s="203"/>
      <c r="U8" s="203"/>
      <c r="V8" s="203"/>
      <c r="W8" s="204"/>
    </row>
    <row r="9" spans="1:23" ht="22.5" customHeight="1" x14ac:dyDescent="0.15">
      <c r="A9" s="226" t="s">
        <v>745</v>
      </c>
      <c r="B9" s="158" t="s">
        <v>773</v>
      </c>
      <c r="C9" s="38"/>
      <c r="D9" s="39"/>
      <c r="E9" s="157"/>
      <c r="F9" s="39"/>
      <c r="G9" s="39"/>
      <c r="H9" s="157"/>
      <c r="I9" s="157"/>
      <c r="J9" s="39"/>
      <c r="K9" s="157"/>
      <c r="L9" s="157"/>
      <c r="M9" s="193" t="s">
        <v>463</v>
      </c>
      <c r="N9" s="193" t="s">
        <v>464</v>
      </c>
      <c r="O9" s="157"/>
      <c r="P9" s="39"/>
      <c r="Q9" s="197" t="s">
        <v>143</v>
      </c>
      <c r="R9" s="106" t="s">
        <v>144</v>
      </c>
      <c r="S9" s="199"/>
      <c r="T9" s="200"/>
      <c r="U9" s="200"/>
      <c r="V9" s="200"/>
      <c r="W9" s="201"/>
    </row>
    <row r="10" spans="1:23" ht="22.5" customHeight="1" x14ac:dyDescent="0.15">
      <c r="A10" s="209"/>
      <c r="B10" s="156" t="s">
        <v>145</v>
      </c>
      <c r="C10" s="41"/>
      <c r="D10" s="42"/>
      <c r="E10" s="60"/>
      <c r="F10" s="42"/>
      <c r="G10" s="43"/>
      <c r="H10" s="59"/>
      <c r="I10" s="60"/>
      <c r="J10" s="61"/>
      <c r="K10" s="60"/>
      <c r="L10" s="59"/>
      <c r="M10" s="194"/>
      <c r="N10" s="194"/>
      <c r="O10" s="60"/>
      <c r="P10" s="61"/>
      <c r="Q10" s="198"/>
      <c r="R10" s="62" t="s">
        <v>146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746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205" t="s">
        <v>148</v>
      </c>
      <c r="L11" s="200"/>
      <c r="M11" s="200"/>
      <c r="N11" s="200"/>
      <c r="O11" s="200"/>
      <c r="P11" s="200"/>
      <c r="Q11" s="200"/>
      <c r="R11" s="206"/>
      <c r="S11" s="199" t="s">
        <v>149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61"/>
      <c r="K12" s="41"/>
      <c r="L12" s="63">
        <v>1</v>
      </c>
      <c r="M12" s="63">
        <v>0</v>
      </c>
      <c r="N12" s="64">
        <v>1</v>
      </c>
      <c r="O12" s="41"/>
      <c r="P12" s="63">
        <v>1</v>
      </c>
      <c r="Q12" s="65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747</v>
      </c>
      <c r="B13" s="158" t="s">
        <v>774</v>
      </c>
      <c r="C13" s="38"/>
      <c r="D13" s="39"/>
      <c r="E13" s="167"/>
      <c r="F13" s="39"/>
      <c r="G13" s="39"/>
      <c r="H13" s="167"/>
      <c r="I13" s="167"/>
      <c r="J13" s="39"/>
      <c r="K13" s="167"/>
      <c r="L13" s="167"/>
      <c r="M13" s="193" t="s">
        <v>463</v>
      </c>
      <c r="N13" s="193" t="s">
        <v>464</v>
      </c>
      <c r="O13" s="167"/>
      <c r="P13" s="39"/>
      <c r="Q13" s="197" t="s">
        <v>143</v>
      </c>
      <c r="R13" s="106" t="s">
        <v>144</v>
      </c>
      <c r="S13" s="199"/>
      <c r="T13" s="200"/>
      <c r="U13" s="200"/>
      <c r="V13" s="200"/>
      <c r="W13" s="201"/>
    </row>
    <row r="14" spans="1:23" ht="22.5" customHeight="1" x14ac:dyDescent="0.15">
      <c r="A14" s="209"/>
      <c r="B14" s="156" t="s">
        <v>145</v>
      </c>
      <c r="C14" s="41"/>
      <c r="D14" s="42"/>
      <c r="E14" s="60"/>
      <c r="F14" s="42"/>
      <c r="G14" s="43"/>
      <c r="H14" s="59"/>
      <c r="I14" s="60"/>
      <c r="J14" s="61"/>
      <c r="K14" s="60"/>
      <c r="L14" s="59"/>
      <c r="M14" s="194"/>
      <c r="N14" s="194"/>
      <c r="O14" s="60"/>
      <c r="P14" s="61"/>
      <c r="Q14" s="198"/>
      <c r="R14" s="62" t="s">
        <v>146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748</v>
      </c>
      <c r="B15" s="155" t="s">
        <v>147</v>
      </c>
      <c r="C15" s="38"/>
      <c r="D15" s="39"/>
      <c r="E15" s="39"/>
      <c r="F15" s="39"/>
      <c r="G15" s="39"/>
      <c r="H15" s="39"/>
      <c r="I15" s="39"/>
      <c r="J15" s="39"/>
      <c r="K15" s="205" t="s">
        <v>148</v>
      </c>
      <c r="L15" s="200"/>
      <c r="M15" s="200"/>
      <c r="N15" s="200"/>
      <c r="O15" s="200"/>
      <c r="P15" s="200"/>
      <c r="Q15" s="200"/>
      <c r="R15" s="206"/>
      <c r="S15" s="199" t="s">
        <v>149</v>
      </c>
      <c r="T15" s="200"/>
      <c r="U15" s="200"/>
      <c r="V15" s="200"/>
      <c r="W15" s="201"/>
    </row>
    <row r="16" spans="1:23" ht="22.5" customHeight="1" x14ac:dyDescent="0.15">
      <c r="A16" s="209"/>
      <c r="B16" s="156"/>
      <c r="C16" s="41"/>
      <c r="D16" s="42"/>
      <c r="E16" s="42"/>
      <c r="F16" s="42"/>
      <c r="G16" s="43"/>
      <c r="H16" s="42"/>
      <c r="I16" s="42"/>
      <c r="J16" s="61"/>
      <c r="K16" s="41"/>
      <c r="L16" s="63">
        <v>1</v>
      </c>
      <c r="M16" s="63">
        <v>0</v>
      </c>
      <c r="N16" s="64">
        <v>1</v>
      </c>
      <c r="O16" s="41"/>
      <c r="P16" s="63">
        <v>1</v>
      </c>
      <c r="Q16" s="65">
        <v>0</v>
      </c>
      <c r="R16" s="66">
        <v>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749</v>
      </c>
      <c r="B17" s="158" t="s">
        <v>775</v>
      </c>
      <c r="C17" s="38"/>
      <c r="D17" s="39"/>
      <c r="E17" s="167"/>
      <c r="F17" s="39"/>
      <c r="G17" s="39"/>
      <c r="H17" s="167"/>
      <c r="I17" s="167"/>
      <c r="J17" s="39"/>
      <c r="K17" s="167"/>
      <c r="L17" s="167"/>
      <c r="M17" s="193" t="s">
        <v>463</v>
      </c>
      <c r="N17" s="193" t="s">
        <v>464</v>
      </c>
      <c r="O17" s="167"/>
      <c r="P17" s="39"/>
      <c r="Q17" s="197" t="s">
        <v>143</v>
      </c>
      <c r="R17" s="106" t="s">
        <v>144</v>
      </c>
      <c r="S17" s="199"/>
      <c r="T17" s="200"/>
      <c r="U17" s="200"/>
      <c r="V17" s="200"/>
      <c r="W17" s="201"/>
    </row>
    <row r="18" spans="1:23" ht="22.5" customHeight="1" x14ac:dyDescent="0.15">
      <c r="A18" s="209"/>
      <c r="B18" s="156" t="s">
        <v>145</v>
      </c>
      <c r="C18" s="41"/>
      <c r="D18" s="42"/>
      <c r="E18" s="60"/>
      <c r="F18" s="42"/>
      <c r="G18" s="43"/>
      <c r="H18" s="59"/>
      <c r="I18" s="60"/>
      <c r="J18" s="61"/>
      <c r="K18" s="60"/>
      <c r="L18" s="59"/>
      <c r="M18" s="194"/>
      <c r="N18" s="194"/>
      <c r="O18" s="60"/>
      <c r="P18" s="61"/>
      <c r="Q18" s="198"/>
      <c r="R18" s="62" t="s">
        <v>146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750</v>
      </c>
      <c r="B19" s="155" t="s">
        <v>147</v>
      </c>
      <c r="C19" s="38"/>
      <c r="D19" s="39"/>
      <c r="E19" s="39"/>
      <c r="F19" s="39"/>
      <c r="G19" s="39"/>
      <c r="H19" s="39"/>
      <c r="I19" s="39"/>
      <c r="J19" s="39"/>
      <c r="K19" s="205" t="s">
        <v>148</v>
      </c>
      <c r="L19" s="200"/>
      <c r="M19" s="200"/>
      <c r="N19" s="200"/>
      <c r="O19" s="200"/>
      <c r="P19" s="200"/>
      <c r="Q19" s="200"/>
      <c r="R19" s="206"/>
      <c r="S19" s="199" t="s">
        <v>149</v>
      </c>
      <c r="T19" s="200"/>
      <c r="U19" s="200"/>
      <c r="V19" s="200"/>
      <c r="W19" s="201"/>
    </row>
    <row r="20" spans="1:23" ht="22.5" customHeight="1" x14ac:dyDescent="0.15">
      <c r="A20" s="209"/>
      <c r="B20" s="156"/>
      <c r="C20" s="41"/>
      <c r="D20" s="42"/>
      <c r="E20" s="42"/>
      <c r="F20" s="42"/>
      <c r="G20" s="43"/>
      <c r="H20" s="42"/>
      <c r="I20" s="42"/>
      <c r="J20" s="61"/>
      <c r="K20" s="41"/>
      <c r="L20" s="63">
        <v>1</v>
      </c>
      <c r="M20" s="63">
        <v>0</v>
      </c>
      <c r="N20" s="64">
        <v>1</v>
      </c>
      <c r="O20" s="41"/>
      <c r="P20" s="63">
        <v>1</v>
      </c>
      <c r="Q20" s="65">
        <v>0</v>
      </c>
      <c r="R20" s="66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751</v>
      </c>
      <c r="B21" s="158" t="s">
        <v>776</v>
      </c>
      <c r="C21" s="38"/>
      <c r="D21" s="39"/>
      <c r="E21" s="167"/>
      <c r="F21" s="39"/>
      <c r="G21" s="39"/>
      <c r="H21" s="167"/>
      <c r="I21" s="167"/>
      <c r="J21" s="39"/>
      <c r="K21" s="167"/>
      <c r="L21" s="167"/>
      <c r="M21" s="193" t="s">
        <v>463</v>
      </c>
      <c r="N21" s="193" t="s">
        <v>464</v>
      </c>
      <c r="O21" s="167"/>
      <c r="P21" s="39"/>
      <c r="Q21" s="197" t="s">
        <v>143</v>
      </c>
      <c r="R21" s="106" t="s">
        <v>144</v>
      </c>
      <c r="S21" s="199"/>
      <c r="T21" s="200"/>
      <c r="U21" s="200"/>
      <c r="V21" s="200"/>
      <c r="W21" s="201"/>
    </row>
    <row r="22" spans="1:23" ht="22.5" customHeight="1" x14ac:dyDescent="0.15">
      <c r="A22" s="209"/>
      <c r="B22" s="156" t="s">
        <v>145</v>
      </c>
      <c r="C22" s="41"/>
      <c r="D22" s="42"/>
      <c r="E22" s="60"/>
      <c r="F22" s="42"/>
      <c r="G22" s="43"/>
      <c r="H22" s="59"/>
      <c r="I22" s="60"/>
      <c r="J22" s="61"/>
      <c r="K22" s="60"/>
      <c r="L22" s="59"/>
      <c r="M22" s="194"/>
      <c r="N22" s="194"/>
      <c r="O22" s="60"/>
      <c r="P22" s="61"/>
      <c r="Q22" s="198"/>
      <c r="R22" s="62" t="s">
        <v>146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27</v>
      </c>
      <c r="B23" s="155" t="s">
        <v>147</v>
      </c>
      <c r="C23" s="38"/>
      <c r="D23" s="39"/>
      <c r="E23" s="39"/>
      <c r="F23" s="39"/>
      <c r="G23" s="39"/>
      <c r="H23" s="39"/>
      <c r="I23" s="39"/>
      <c r="J23" s="39"/>
      <c r="K23" s="205" t="s">
        <v>148</v>
      </c>
      <c r="L23" s="200"/>
      <c r="M23" s="200"/>
      <c r="N23" s="200"/>
      <c r="O23" s="200"/>
      <c r="P23" s="200"/>
      <c r="Q23" s="200"/>
      <c r="R23" s="206"/>
      <c r="S23" s="199" t="s">
        <v>149</v>
      </c>
      <c r="T23" s="200"/>
      <c r="U23" s="200"/>
      <c r="V23" s="200"/>
      <c r="W23" s="201"/>
    </row>
    <row r="24" spans="1:23" ht="22.5" customHeight="1" x14ac:dyDescent="0.15">
      <c r="A24" s="209"/>
      <c r="B24" s="156"/>
      <c r="C24" s="41"/>
      <c r="D24" s="42"/>
      <c r="E24" s="42"/>
      <c r="F24" s="42"/>
      <c r="G24" s="43"/>
      <c r="H24" s="42"/>
      <c r="I24" s="42"/>
      <c r="J24" s="61"/>
      <c r="K24" s="41"/>
      <c r="L24" s="63">
        <v>1</v>
      </c>
      <c r="M24" s="63">
        <v>0</v>
      </c>
      <c r="N24" s="64">
        <v>1</v>
      </c>
      <c r="O24" s="41"/>
      <c r="P24" s="63">
        <v>1</v>
      </c>
      <c r="Q24" s="63">
        <v>0</v>
      </c>
      <c r="R24" s="66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'D0010'!J28+1</f>
        <v>47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2">
    <mergeCell ref="S3:W4"/>
    <mergeCell ref="A5:A6"/>
    <mergeCell ref="S5:W6"/>
    <mergeCell ref="A3:A4"/>
    <mergeCell ref="B3:B4"/>
    <mergeCell ref="B5:B6"/>
    <mergeCell ref="S7:W8"/>
    <mergeCell ref="A9:A10"/>
    <mergeCell ref="S9:W10"/>
    <mergeCell ref="A11:A12"/>
    <mergeCell ref="B11:B12"/>
    <mergeCell ref="S11:W12"/>
    <mergeCell ref="A7:A8"/>
    <mergeCell ref="Q9:Q10"/>
    <mergeCell ref="K11:R11"/>
    <mergeCell ref="M9:M10"/>
    <mergeCell ref="B7:B8"/>
    <mergeCell ref="N9:N10"/>
    <mergeCell ref="A13:A14"/>
    <mergeCell ref="A23:A24"/>
    <mergeCell ref="A17:A18"/>
    <mergeCell ref="A19:A20"/>
    <mergeCell ref="A21:A22"/>
    <mergeCell ref="A15:A16"/>
    <mergeCell ref="M13:M14"/>
    <mergeCell ref="N13:N14"/>
    <mergeCell ref="Q13:Q14"/>
    <mergeCell ref="S13:W14"/>
    <mergeCell ref="K15:R15"/>
    <mergeCell ref="S15:W16"/>
    <mergeCell ref="M17:M18"/>
    <mergeCell ref="N17:N18"/>
    <mergeCell ref="Q17:Q18"/>
    <mergeCell ref="S17:W18"/>
    <mergeCell ref="K19:R19"/>
    <mergeCell ref="S19:W20"/>
    <mergeCell ref="M21:M22"/>
    <mergeCell ref="N21:N22"/>
    <mergeCell ref="Q21:Q22"/>
    <mergeCell ref="S21:W22"/>
    <mergeCell ref="K23:R23"/>
    <mergeCell ref="S23:W24"/>
  </mergeCells>
  <phoneticPr fontId="18"/>
  <hyperlinks>
    <hyperlink ref="A1" location="レジスタ概要!A1" display="レジスタ概要!A1" xr:uid="{00000000-0004-0000-05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W29"/>
  <sheetViews>
    <sheetView view="pageBreakPreview" zoomScale="85" zoomScaleNormal="100" zoomScaleSheetLayoutView="85" workbookViewId="0">
      <selection activeCell="J27" sqref="J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752</v>
      </c>
      <c r="B5" s="158" t="s">
        <v>777</v>
      </c>
      <c r="C5" s="38"/>
      <c r="D5" s="39"/>
      <c r="E5" s="157"/>
      <c r="F5" s="39"/>
      <c r="G5" s="39"/>
      <c r="H5" s="157"/>
      <c r="I5" s="157"/>
      <c r="J5" s="39"/>
      <c r="K5" s="157"/>
      <c r="L5" s="157"/>
      <c r="M5" s="193" t="s">
        <v>463</v>
      </c>
      <c r="N5" s="193" t="s">
        <v>464</v>
      </c>
      <c r="O5" s="157"/>
      <c r="P5" s="39"/>
      <c r="Q5" s="197" t="s">
        <v>143</v>
      </c>
      <c r="R5" s="106" t="s">
        <v>144</v>
      </c>
      <c r="S5" s="199"/>
      <c r="T5" s="200"/>
      <c r="U5" s="200"/>
      <c r="V5" s="200"/>
      <c r="W5" s="201"/>
    </row>
    <row r="6" spans="1:23" ht="22.5" customHeight="1" x14ac:dyDescent="0.15">
      <c r="A6" s="209"/>
      <c r="B6" s="156" t="s">
        <v>145</v>
      </c>
      <c r="C6" s="41"/>
      <c r="D6" s="42"/>
      <c r="E6" s="60"/>
      <c r="F6" s="42"/>
      <c r="G6" s="43"/>
      <c r="H6" s="59"/>
      <c r="I6" s="60"/>
      <c r="J6" s="61"/>
      <c r="K6" s="60"/>
      <c r="L6" s="59"/>
      <c r="M6" s="194"/>
      <c r="N6" s="194"/>
      <c r="O6" s="60"/>
      <c r="P6" s="61"/>
      <c r="Q6" s="198"/>
      <c r="R6" s="62" t="s">
        <v>146</v>
      </c>
      <c r="S6" s="202"/>
      <c r="T6" s="203"/>
      <c r="U6" s="203"/>
      <c r="V6" s="203"/>
      <c r="W6" s="204"/>
    </row>
    <row r="7" spans="1:23" ht="22.5" customHeight="1" x14ac:dyDescent="0.15">
      <c r="A7" s="226" t="s">
        <v>753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205" t="s">
        <v>148</v>
      </c>
      <c r="L7" s="200"/>
      <c r="M7" s="200"/>
      <c r="N7" s="200"/>
      <c r="O7" s="200"/>
      <c r="P7" s="200"/>
      <c r="Q7" s="200"/>
      <c r="R7" s="206"/>
      <c r="S7" s="199" t="s">
        <v>149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61"/>
      <c r="K8" s="41"/>
      <c r="L8" s="63">
        <v>1</v>
      </c>
      <c r="M8" s="63">
        <v>0</v>
      </c>
      <c r="N8" s="64">
        <v>1</v>
      </c>
      <c r="O8" s="41"/>
      <c r="P8" s="63">
        <v>1</v>
      </c>
      <c r="Q8" s="63">
        <v>0</v>
      </c>
      <c r="R8" s="66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754</v>
      </c>
      <c r="B9" s="158" t="s">
        <v>778</v>
      </c>
      <c r="C9" s="38"/>
      <c r="D9" s="39"/>
      <c r="E9" s="157"/>
      <c r="F9" s="39"/>
      <c r="G9" s="39"/>
      <c r="H9" s="157"/>
      <c r="I9" s="157"/>
      <c r="J9" s="39"/>
      <c r="K9" s="157"/>
      <c r="L9" s="157"/>
      <c r="M9" s="193" t="s">
        <v>463</v>
      </c>
      <c r="N9" s="193" t="s">
        <v>464</v>
      </c>
      <c r="O9" s="157"/>
      <c r="P9" s="39"/>
      <c r="Q9" s="197" t="s">
        <v>143</v>
      </c>
      <c r="R9" s="106" t="s">
        <v>144</v>
      </c>
      <c r="S9" s="199"/>
      <c r="T9" s="200"/>
      <c r="U9" s="200"/>
      <c r="V9" s="200"/>
      <c r="W9" s="201"/>
    </row>
    <row r="10" spans="1:23" ht="22.5" customHeight="1" x14ac:dyDescent="0.15">
      <c r="A10" s="209"/>
      <c r="B10" s="156" t="s">
        <v>145</v>
      </c>
      <c r="C10" s="41"/>
      <c r="D10" s="42"/>
      <c r="E10" s="60"/>
      <c r="F10" s="42"/>
      <c r="G10" s="43"/>
      <c r="H10" s="59"/>
      <c r="I10" s="60"/>
      <c r="J10" s="61"/>
      <c r="K10" s="60"/>
      <c r="L10" s="59"/>
      <c r="M10" s="194"/>
      <c r="N10" s="194"/>
      <c r="O10" s="60"/>
      <c r="P10" s="61"/>
      <c r="Q10" s="198"/>
      <c r="R10" s="62" t="s">
        <v>146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755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205" t="s">
        <v>148</v>
      </c>
      <c r="L11" s="200"/>
      <c r="M11" s="200"/>
      <c r="N11" s="200"/>
      <c r="O11" s="200"/>
      <c r="P11" s="200"/>
      <c r="Q11" s="200"/>
      <c r="R11" s="206"/>
      <c r="S11" s="199" t="s">
        <v>149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61"/>
      <c r="K12" s="41"/>
      <c r="L12" s="63">
        <v>1</v>
      </c>
      <c r="M12" s="63">
        <v>0</v>
      </c>
      <c r="N12" s="64">
        <v>1</v>
      </c>
      <c r="O12" s="41"/>
      <c r="P12" s="63">
        <v>1</v>
      </c>
      <c r="Q12" s="65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756</v>
      </c>
      <c r="B13" s="158" t="s">
        <v>779</v>
      </c>
      <c r="C13" s="38"/>
      <c r="D13" s="39"/>
      <c r="E13" s="167"/>
      <c r="F13" s="39"/>
      <c r="G13" s="39"/>
      <c r="H13" s="167"/>
      <c r="I13" s="167"/>
      <c r="J13" s="39"/>
      <c r="K13" s="167"/>
      <c r="L13" s="167"/>
      <c r="M13" s="193" t="s">
        <v>463</v>
      </c>
      <c r="N13" s="193" t="s">
        <v>464</v>
      </c>
      <c r="O13" s="167"/>
      <c r="P13" s="39"/>
      <c r="Q13" s="197" t="s">
        <v>143</v>
      </c>
      <c r="R13" s="106" t="s">
        <v>144</v>
      </c>
      <c r="S13" s="199" t="s">
        <v>772</v>
      </c>
      <c r="T13" s="200"/>
      <c r="U13" s="200"/>
      <c r="V13" s="200"/>
      <c r="W13" s="201"/>
    </row>
    <row r="14" spans="1:23" ht="22.5" customHeight="1" x14ac:dyDescent="0.15">
      <c r="A14" s="209"/>
      <c r="B14" s="156" t="s">
        <v>145</v>
      </c>
      <c r="C14" s="41"/>
      <c r="D14" s="42"/>
      <c r="E14" s="60"/>
      <c r="F14" s="42"/>
      <c r="G14" s="43"/>
      <c r="H14" s="59"/>
      <c r="I14" s="60"/>
      <c r="J14" s="61"/>
      <c r="K14" s="60"/>
      <c r="L14" s="59"/>
      <c r="M14" s="194"/>
      <c r="N14" s="194"/>
      <c r="O14" s="60"/>
      <c r="P14" s="61"/>
      <c r="Q14" s="198"/>
      <c r="R14" s="62" t="s">
        <v>146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757</v>
      </c>
      <c r="B15" s="155" t="s">
        <v>147</v>
      </c>
      <c r="C15" s="38"/>
      <c r="D15" s="39"/>
      <c r="E15" s="39"/>
      <c r="F15" s="39"/>
      <c r="G15" s="39"/>
      <c r="H15" s="39"/>
      <c r="I15" s="39"/>
      <c r="J15" s="39"/>
      <c r="K15" s="205" t="s">
        <v>148</v>
      </c>
      <c r="L15" s="200"/>
      <c r="M15" s="200"/>
      <c r="N15" s="200"/>
      <c r="O15" s="200"/>
      <c r="P15" s="200"/>
      <c r="Q15" s="200"/>
      <c r="R15" s="206"/>
      <c r="S15" s="199" t="s">
        <v>149</v>
      </c>
      <c r="T15" s="200"/>
      <c r="U15" s="200"/>
      <c r="V15" s="200"/>
      <c r="W15" s="201"/>
    </row>
    <row r="16" spans="1:23" ht="22.5" customHeight="1" x14ac:dyDescent="0.15">
      <c r="A16" s="209"/>
      <c r="B16" s="156"/>
      <c r="C16" s="41"/>
      <c r="D16" s="42"/>
      <c r="E16" s="42"/>
      <c r="F16" s="42"/>
      <c r="G16" s="43"/>
      <c r="H16" s="42"/>
      <c r="I16" s="42"/>
      <c r="J16" s="61"/>
      <c r="K16" s="41"/>
      <c r="L16" s="63">
        <v>1</v>
      </c>
      <c r="M16" s="63">
        <v>0</v>
      </c>
      <c r="N16" s="64">
        <v>1</v>
      </c>
      <c r="O16" s="41"/>
      <c r="P16" s="63">
        <v>1</v>
      </c>
      <c r="Q16" s="63">
        <v>0</v>
      </c>
      <c r="R16" s="66">
        <v>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758</v>
      </c>
      <c r="B17" s="158" t="s">
        <v>780</v>
      </c>
      <c r="C17" s="38"/>
      <c r="D17" s="39"/>
      <c r="E17" s="167"/>
      <c r="F17" s="39"/>
      <c r="G17" s="39"/>
      <c r="H17" s="167"/>
      <c r="I17" s="167"/>
      <c r="J17" s="39"/>
      <c r="K17" s="167"/>
      <c r="L17" s="167"/>
      <c r="M17" s="193" t="s">
        <v>463</v>
      </c>
      <c r="N17" s="193" t="s">
        <v>464</v>
      </c>
      <c r="O17" s="167"/>
      <c r="P17" s="39"/>
      <c r="Q17" s="197" t="s">
        <v>143</v>
      </c>
      <c r="R17" s="106" t="s">
        <v>144</v>
      </c>
      <c r="S17" s="199" t="s">
        <v>772</v>
      </c>
      <c r="T17" s="200"/>
      <c r="U17" s="200"/>
      <c r="V17" s="200"/>
      <c r="W17" s="201"/>
    </row>
    <row r="18" spans="1:23" ht="22.5" customHeight="1" x14ac:dyDescent="0.15">
      <c r="A18" s="209"/>
      <c r="B18" s="156" t="s">
        <v>145</v>
      </c>
      <c r="C18" s="41"/>
      <c r="D18" s="42"/>
      <c r="E18" s="60"/>
      <c r="F18" s="42"/>
      <c r="G18" s="43"/>
      <c r="H18" s="59"/>
      <c r="I18" s="60"/>
      <c r="J18" s="61"/>
      <c r="K18" s="60"/>
      <c r="L18" s="59"/>
      <c r="M18" s="194"/>
      <c r="N18" s="194"/>
      <c r="O18" s="60"/>
      <c r="P18" s="61"/>
      <c r="Q18" s="198"/>
      <c r="R18" s="62" t="s">
        <v>146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759</v>
      </c>
      <c r="B19" s="155" t="s">
        <v>147</v>
      </c>
      <c r="C19" s="38"/>
      <c r="D19" s="39"/>
      <c r="E19" s="39"/>
      <c r="F19" s="39"/>
      <c r="G19" s="39"/>
      <c r="H19" s="39"/>
      <c r="I19" s="39"/>
      <c r="J19" s="39"/>
      <c r="K19" s="205" t="s">
        <v>148</v>
      </c>
      <c r="L19" s="200"/>
      <c r="M19" s="200"/>
      <c r="N19" s="200"/>
      <c r="O19" s="200"/>
      <c r="P19" s="200"/>
      <c r="Q19" s="200"/>
      <c r="R19" s="206"/>
      <c r="S19" s="199" t="s">
        <v>149</v>
      </c>
      <c r="T19" s="200"/>
      <c r="U19" s="200"/>
      <c r="V19" s="200"/>
      <c r="W19" s="201"/>
    </row>
    <row r="20" spans="1:23" ht="22.5" customHeight="1" x14ac:dyDescent="0.15">
      <c r="A20" s="209"/>
      <c r="B20" s="156"/>
      <c r="C20" s="41"/>
      <c r="D20" s="42"/>
      <c r="E20" s="42"/>
      <c r="F20" s="42"/>
      <c r="G20" s="43"/>
      <c r="H20" s="42"/>
      <c r="I20" s="42"/>
      <c r="J20" s="61"/>
      <c r="K20" s="41"/>
      <c r="L20" s="63">
        <v>1</v>
      </c>
      <c r="M20" s="63">
        <v>0</v>
      </c>
      <c r="N20" s="64">
        <v>1</v>
      </c>
      <c r="O20" s="41"/>
      <c r="P20" s="63">
        <v>1</v>
      </c>
      <c r="Q20" s="63">
        <v>0</v>
      </c>
      <c r="R20" s="66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760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29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'D0030'!J28+1</f>
        <v>48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3">
    <mergeCell ref="A3:A4"/>
    <mergeCell ref="B3:B4"/>
    <mergeCell ref="S3:W4"/>
    <mergeCell ref="A5:A6"/>
    <mergeCell ref="M5:M6"/>
    <mergeCell ref="N5:N6"/>
    <mergeCell ref="Q5:Q6"/>
    <mergeCell ref="S5:W6"/>
    <mergeCell ref="S11:W12"/>
    <mergeCell ref="A13:A14"/>
    <mergeCell ref="A7:A8"/>
    <mergeCell ref="B7:B8"/>
    <mergeCell ref="K7:R7"/>
    <mergeCell ref="S7:W8"/>
    <mergeCell ref="A9:A10"/>
    <mergeCell ref="S9:W10"/>
    <mergeCell ref="S13:W14"/>
    <mergeCell ref="A23:A24"/>
    <mergeCell ref="M9:M10"/>
    <mergeCell ref="N9:N10"/>
    <mergeCell ref="Q9:Q10"/>
    <mergeCell ref="B11:B12"/>
    <mergeCell ref="K11:R11"/>
    <mergeCell ref="A19:A20"/>
    <mergeCell ref="A21:A22"/>
    <mergeCell ref="A15:A16"/>
    <mergeCell ref="A17:A18"/>
    <mergeCell ref="A11:A12"/>
    <mergeCell ref="M13:M14"/>
    <mergeCell ref="N13:N14"/>
    <mergeCell ref="Q13:Q14"/>
    <mergeCell ref="K15:R15"/>
    <mergeCell ref="K19:R19"/>
    <mergeCell ref="S15:W16"/>
    <mergeCell ref="M17:M18"/>
    <mergeCell ref="N17:N18"/>
    <mergeCell ref="Q17:Q18"/>
    <mergeCell ref="S17:W18"/>
    <mergeCell ref="S23:W24"/>
    <mergeCell ref="B21:B22"/>
    <mergeCell ref="B23:B24"/>
    <mergeCell ref="S19:W20"/>
    <mergeCell ref="S21:W22"/>
  </mergeCells>
  <phoneticPr fontId="18"/>
  <hyperlinks>
    <hyperlink ref="A1" location="レジスタ概要!A1" display="レジスタ概要!A1" xr:uid="{00000000-0004-0000-06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W29"/>
  <sheetViews>
    <sheetView view="pageBreakPreview" zoomScale="85" zoomScaleNormal="100" zoomScaleSheetLayoutView="85" workbookViewId="0">
      <selection activeCell="B22" sqref="B22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567</v>
      </c>
      <c r="B5" s="197" t="s">
        <v>151</v>
      </c>
      <c r="C5" s="38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40"/>
      <c r="S5" s="199"/>
      <c r="T5" s="200"/>
      <c r="U5" s="200"/>
      <c r="V5" s="200"/>
      <c r="W5" s="201"/>
    </row>
    <row r="6" spans="1:23" ht="22.5" customHeight="1" x14ac:dyDescent="0.15">
      <c r="A6" s="209"/>
      <c r="B6" s="198"/>
      <c r="C6" s="41"/>
      <c r="D6" s="42"/>
      <c r="E6" s="42"/>
      <c r="F6" s="42"/>
      <c r="G6" s="43"/>
      <c r="H6" s="42"/>
      <c r="I6" s="42"/>
      <c r="J6" s="42"/>
      <c r="K6" s="43"/>
      <c r="L6" s="42"/>
      <c r="M6" s="42"/>
      <c r="N6" s="42"/>
      <c r="O6" s="43"/>
      <c r="P6" s="42"/>
      <c r="Q6" s="42"/>
      <c r="R6" s="44"/>
      <c r="S6" s="202"/>
      <c r="T6" s="203"/>
      <c r="U6" s="203"/>
      <c r="V6" s="203"/>
      <c r="W6" s="204"/>
    </row>
    <row r="7" spans="1:23" ht="22.5" customHeight="1" x14ac:dyDescent="0.15">
      <c r="A7" s="226" t="s">
        <v>568</v>
      </c>
      <c r="B7" s="197" t="s">
        <v>151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40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42"/>
      <c r="K8" s="43"/>
      <c r="L8" s="42"/>
      <c r="M8" s="42"/>
      <c r="N8" s="42"/>
      <c r="O8" s="43"/>
      <c r="P8" s="42"/>
      <c r="Q8" s="42"/>
      <c r="R8" s="44"/>
      <c r="S8" s="202"/>
      <c r="T8" s="203"/>
      <c r="U8" s="203"/>
      <c r="V8" s="203"/>
      <c r="W8" s="204"/>
    </row>
    <row r="9" spans="1:23" ht="22.5" customHeight="1" x14ac:dyDescent="0.15">
      <c r="A9" s="226" t="s">
        <v>569</v>
      </c>
      <c r="B9" s="197" t="s">
        <v>151</v>
      </c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226" t="s">
        <v>570</v>
      </c>
      <c r="B11" s="197" t="s">
        <v>151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226" t="s">
        <v>571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572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573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226" t="s">
        <v>574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575</v>
      </c>
      <c r="B21" s="67" t="s">
        <v>763</v>
      </c>
      <c r="C21" s="38"/>
      <c r="D21" s="56"/>
      <c r="E21" s="56"/>
      <c r="F21" s="39"/>
      <c r="G21" s="39"/>
      <c r="H21" s="56"/>
      <c r="I21" s="56"/>
      <c r="J21" s="39"/>
      <c r="K21" s="56"/>
      <c r="L21" s="56"/>
      <c r="M21" s="193" t="s">
        <v>463</v>
      </c>
      <c r="N21" s="39"/>
      <c r="O21" s="56"/>
      <c r="P21" s="39"/>
      <c r="Q21" s="197" t="s">
        <v>143</v>
      </c>
      <c r="R21" s="106" t="s">
        <v>144</v>
      </c>
      <c r="S21" s="199" t="s">
        <v>576</v>
      </c>
      <c r="T21" s="200"/>
      <c r="U21" s="200"/>
      <c r="V21" s="200"/>
      <c r="W21" s="201"/>
    </row>
    <row r="22" spans="1:23" ht="22.5" customHeight="1" x14ac:dyDescent="0.15">
      <c r="A22" s="209"/>
      <c r="B22" s="54" t="s">
        <v>145</v>
      </c>
      <c r="C22" s="91"/>
      <c r="D22" s="59"/>
      <c r="E22" s="60"/>
      <c r="F22" s="42"/>
      <c r="G22" s="43"/>
      <c r="H22" s="59"/>
      <c r="I22" s="60"/>
      <c r="J22" s="61"/>
      <c r="K22" s="60"/>
      <c r="L22" s="59"/>
      <c r="M22" s="194"/>
      <c r="N22" s="61"/>
      <c r="O22" s="60"/>
      <c r="P22" s="61"/>
      <c r="Q22" s="198"/>
      <c r="R22" s="62" t="s">
        <v>146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44</v>
      </c>
      <c r="B23" s="197" t="s">
        <v>147</v>
      </c>
      <c r="C23" s="38"/>
      <c r="D23" s="39"/>
      <c r="E23" s="39"/>
      <c r="F23" s="39"/>
      <c r="G23" s="39"/>
      <c r="H23" s="39"/>
      <c r="I23" s="39"/>
      <c r="J23" s="39"/>
      <c r="K23" s="205" t="s">
        <v>148</v>
      </c>
      <c r="L23" s="200"/>
      <c r="M23" s="200"/>
      <c r="N23" s="200"/>
      <c r="O23" s="200"/>
      <c r="P23" s="200"/>
      <c r="Q23" s="200"/>
      <c r="R23" s="206"/>
      <c r="S23" s="199" t="s">
        <v>149</v>
      </c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61"/>
      <c r="K24" s="41"/>
      <c r="L24" s="63">
        <v>1</v>
      </c>
      <c r="M24" s="63">
        <v>0</v>
      </c>
      <c r="N24" s="64">
        <v>1</v>
      </c>
      <c r="O24" s="41"/>
      <c r="P24" s="63">
        <v>1</v>
      </c>
      <c r="Q24" s="63">
        <v>0</v>
      </c>
      <c r="R24" s="66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'D0040'!J28+1</f>
        <v>49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5">
    <mergeCell ref="A3:A4"/>
    <mergeCell ref="B3:B4"/>
    <mergeCell ref="S3:W4"/>
    <mergeCell ref="A5:A6"/>
    <mergeCell ref="S5:W6"/>
    <mergeCell ref="A21:A22"/>
    <mergeCell ref="M21:M22"/>
    <mergeCell ref="Q21:Q22"/>
    <mergeCell ref="S21:W22"/>
    <mergeCell ref="A7:A8"/>
    <mergeCell ref="B7:B8"/>
    <mergeCell ref="S7:W8"/>
    <mergeCell ref="A9:A10"/>
    <mergeCell ref="S9:W10"/>
    <mergeCell ref="A11:A12"/>
    <mergeCell ref="B11:B12"/>
    <mergeCell ref="S11:W12"/>
    <mergeCell ref="A13:A14"/>
    <mergeCell ref="S13:W14"/>
    <mergeCell ref="A23:A24"/>
    <mergeCell ref="B23:B24"/>
    <mergeCell ref="K23:R23"/>
    <mergeCell ref="S23:W24"/>
    <mergeCell ref="B5:B6"/>
    <mergeCell ref="B9:B10"/>
    <mergeCell ref="B13:B14"/>
    <mergeCell ref="B17:B18"/>
    <mergeCell ref="A19:A20"/>
    <mergeCell ref="B19:B20"/>
    <mergeCell ref="A15:A16"/>
    <mergeCell ref="B15:B16"/>
    <mergeCell ref="S15:W16"/>
    <mergeCell ref="A17:A18"/>
    <mergeCell ref="S17:W18"/>
    <mergeCell ref="S19:W20"/>
  </mergeCells>
  <phoneticPr fontId="18"/>
  <hyperlinks>
    <hyperlink ref="A1" location="レジスタ概要!A1" display="レジスタ概要!A1" xr:uid="{00000000-0004-0000-08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1:W29"/>
  <sheetViews>
    <sheetView view="pageBreakPreview" topLeftCell="A4" zoomScale="85" zoomScaleNormal="100" zoomScaleSheetLayoutView="85" workbookViewId="0">
      <selection activeCell="B18" sqref="B1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577</v>
      </c>
      <c r="B5" s="197" t="s">
        <v>151</v>
      </c>
      <c r="C5" s="38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40"/>
      <c r="S5" s="199"/>
      <c r="T5" s="200"/>
      <c r="U5" s="200"/>
      <c r="V5" s="200"/>
      <c r="W5" s="201"/>
    </row>
    <row r="6" spans="1:23" ht="22.5" customHeight="1" x14ac:dyDescent="0.15">
      <c r="A6" s="209"/>
      <c r="B6" s="198"/>
      <c r="C6" s="41"/>
      <c r="D6" s="42"/>
      <c r="E6" s="42"/>
      <c r="F6" s="42"/>
      <c r="G6" s="43"/>
      <c r="H6" s="42"/>
      <c r="I6" s="42"/>
      <c r="J6" s="42"/>
      <c r="K6" s="43"/>
      <c r="L6" s="42"/>
      <c r="M6" s="42"/>
      <c r="N6" s="42"/>
      <c r="O6" s="43"/>
      <c r="P6" s="42"/>
      <c r="Q6" s="42"/>
      <c r="R6" s="44"/>
      <c r="S6" s="202"/>
      <c r="T6" s="203"/>
      <c r="U6" s="203"/>
      <c r="V6" s="203"/>
      <c r="W6" s="204"/>
    </row>
    <row r="7" spans="1:23" ht="22.5" customHeight="1" x14ac:dyDescent="0.15">
      <c r="A7" s="226" t="s">
        <v>578</v>
      </c>
      <c r="B7" s="197" t="s">
        <v>151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40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42"/>
      <c r="K8" s="43"/>
      <c r="L8" s="42"/>
      <c r="M8" s="42"/>
      <c r="N8" s="42"/>
      <c r="O8" s="43"/>
      <c r="P8" s="42"/>
      <c r="Q8" s="42"/>
      <c r="R8" s="44"/>
      <c r="S8" s="202"/>
      <c r="T8" s="203"/>
      <c r="U8" s="203"/>
      <c r="V8" s="203"/>
      <c r="W8" s="204"/>
    </row>
    <row r="9" spans="1:23" ht="22.5" customHeight="1" x14ac:dyDescent="0.15">
      <c r="A9" s="226" t="s">
        <v>579</v>
      </c>
      <c r="B9" s="67" t="s">
        <v>781</v>
      </c>
      <c r="C9" s="38"/>
      <c r="D9" s="39"/>
      <c r="E9" s="56"/>
      <c r="F9" s="39"/>
      <c r="G9" s="39"/>
      <c r="H9" s="56"/>
      <c r="I9" s="56"/>
      <c r="J9" s="39"/>
      <c r="K9" s="56"/>
      <c r="L9" s="56"/>
      <c r="M9" s="39"/>
      <c r="N9" s="193" t="s">
        <v>464</v>
      </c>
      <c r="O9" s="56"/>
      <c r="P9" s="39"/>
      <c r="Q9" s="197" t="s">
        <v>143</v>
      </c>
      <c r="R9" s="106" t="s">
        <v>144</v>
      </c>
      <c r="S9" s="199" t="s">
        <v>586</v>
      </c>
      <c r="T9" s="200"/>
      <c r="U9" s="200"/>
      <c r="V9" s="200"/>
      <c r="W9" s="201"/>
    </row>
    <row r="10" spans="1:23" ht="22.5" customHeight="1" x14ac:dyDescent="0.15">
      <c r="A10" s="209"/>
      <c r="B10" s="54" t="s">
        <v>145</v>
      </c>
      <c r="C10" s="41"/>
      <c r="D10" s="42"/>
      <c r="E10" s="60"/>
      <c r="F10" s="42"/>
      <c r="G10" s="43"/>
      <c r="H10" s="59"/>
      <c r="I10" s="60"/>
      <c r="J10" s="61"/>
      <c r="K10" s="60"/>
      <c r="L10" s="59"/>
      <c r="M10" s="42"/>
      <c r="N10" s="194"/>
      <c r="O10" s="60"/>
      <c r="P10" s="61"/>
      <c r="Q10" s="198"/>
      <c r="R10" s="62" t="s">
        <v>146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580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205" t="s">
        <v>148</v>
      </c>
      <c r="L11" s="200"/>
      <c r="M11" s="200"/>
      <c r="N11" s="200"/>
      <c r="O11" s="200"/>
      <c r="P11" s="200"/>
      <c r="Q11" s="200"/>
      <c r="R11" s="206"/>
      <c r="S11" s="199" t="s">
        <v>149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61"/>
      <c r="K12" s="41"/>
      <c r="L12" s="63">
        <v>1</v>
      </c>
      <c r="M12" s="63">
        <v>0</v>
      </c>
      <c r="N12" s="64">
        <v>1</v>
      </c>
      <c r="O12" s="41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581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582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583</v>
      </c>
      <c r="B17" s="67" t="s">
        <v>782</v>
      </c>
      <c r="C17" s="38"/>
      <c r="D17" s="39"/>
      <c r="E17" s="56"/>
      <c r="F17" s="39"/>
      <c r="G17" s="39"/>
      <c r="H17" s="56"/>
      <c r="I17" s="56"/>
      <c r="J17" s="39"/>
      <c r="K17" s="56"/>
      <c r="L17" s="56"/>
      <c r="M17" s="39"/>
      <c r="N17" s="193" t="s">
        <v>464</v>
      </c>
      <c r="O17" s="56"/>
      <c r="P17" s="39"/>
      <c r="Q17" s="197" t="s">
        <v>143</v>
      </c>
      <c r="R17" s="106" t="s">
        <v>144</v>
      </c>
      <c r="S17" s="199" t="s">
        <v>587</v>
      </c>
      <c r="T17" s="200"/>
      <c r="U17" s="200"/>
      <c r="V17" s="200"/>
      <c r="W17" s="201"/>
    </row>
    <row r="18" spans="1:23" ht="22.5" customHeight="1" x14ac:dyDescent="0.15">
      <c r="A18" s="209"/>
      <c r="B18" s="54" t="s">
        <v>145</v>
      </c>
      <c r="C18" s="41"/>
      <c r="D18" s="42"/>
      <c r="E18" s="60"/>
      <c r="F18" s="42"/>
      <c r="G18" s="43"/>
      <c r="H18" s="59"/>
      <c r="I18" s="60"/>
      <c r="J18" s="61"/>
      <c r="K18" s="60"/>
      <c r="L18" s="59"/>
      <c r="M18" s="42"/>
      <c r="N18" s="194"/>
      <c r="O18" s="60"/>
      <c r="P18" s="61"/>
      <c r="Q18" s="198"/>
      <c r="R18" s="62" t="s">
        <v>146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584</v>
      </c>
      <c r="B19" s="197" t="s">
        <v>147</v>
      </c>
      <c r="C19" s="38"/>
      <c r="D19" s="39"/>
      <c r="E19" s="39"/>
      <c r="F19" s="39"/>
      <c r="G19" s="39"/>
      <c r="H19" s="39"/>
      <c r="I19" s="39"/>
      <c r="J19" s="39"/>
      <c r="K19" s="205" t="s">
        <v>148</v>
      </c>
      <c r="L19" s="200"/>
      <c r="M19" s="200"/>
      <c r="N19" s="200"/>
      <c r="O19" s="200"/>
      <c r="P19" s="200"/>
      <c r="Q19" s="200"/>
      <c r="R19" s="206"/>
      <c r="S19" s="199" t="s">
        <v>149</v>
      </c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61"/>
      <c r="K20" s="41"/>
      <c r="L20" s="63">
        <v>1</v>
      </c>
      <c r="M20" s="63">
        <v>0</v>
      </c>
      <c r="N20" s="64">
        <v>1</v>
      </c>
      <c r="O20" s="41"/>
      <c r="P20" s="63">
        <v>1</v>
      </c>
      <c r="Q20" s="63">
        <v>0</v>
      </c>
      <c r="R20" s="66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585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46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'D0120'!J28+1</f>
        <v>50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7">
    <mergeCell ref="A7:A8"/>
    <mergeCell ref="B7:B8"/>
    <mergeCell ref="S7:W8"/>
    <mergeCell ref="A9:A10"/>
    <mergeCell ref="S9:W10"/>
    <mergeCell ref="A3:A4"/>
    <mergeCell ref="B3:B4"/>
    <mergeCell ref="S3:W4"/>
    <mergeCell ref="A5:A6"/>
    <mergeCell ref="B5:B6"/>
    <mergeCell ref="S5:W6"/>
    <mergeCell ref="S19:W20"/>
    <mergeCell ref="A21:A22"/>
    <mergeCell ref="S21:W22"/>
    <mergeCell ref="B21:B22"/>
    <mergeCell ref="A11:A12"/>
    <mergeCell ref="B11:B12"/>
    <mergeCell ref="S11:W12"/>
    <mergeCell ref="A13:A14"/>
    <mergeCell ref="B13:B14"/>
    <mergeCell ref="S13:W14"/>
    <mergeCell ref="A23:A24"/>
    <mergeCell ref="B23:B24"/>
    <mergeCell ref="S23:W24"/>
    <mergeCell ref="N9:N10"/>
    <mergeCell ref="Q9:Q10"/>
    <mergeCell ref="K11:R11"/>
    <mergeCell ref="N17:N18"/>
    <mergeCell ref="Q17:Q18"/>
    <mergeCell ref="K19:R19"/>
    <mergeCell ref="A19:A20"/>
    <mergeCell ref="A15:A16"/>
    <mergeCell ref="B15:B16"/>
    <mergeCell ref="S15:W16"/>
    <mergeCell ref="A17:A18"/>
    <mergeCell ref="S17:W18"/>
    <mergeCell ref="B19:B20"/>
  </mergeCells>
  <phoneticPr fontId="18"/>
  <hyperlinks>
    <hyperlink ref="A1" location="レジスタ概要!A1" display="レジスタ概要!A1" xr:uid="{00000000-0004-0000-09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W29"/>
  <sheetViews>
    <sheetView view="pageBreakPreview" zoomScale="85" zoomScaleNormal="100" zoomScaleSheetLayoutView="85" workbookViewId="0">
      <selection activeCell="B6" sqref="B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588</v>
      </c>
      <c r="B5" s="67" t="s">
        <v>783</v>
      </c>
      <c r="C5" s="38"/>
      <c r="D5" s="39"/>
      <c r="E5" s="56"/>
      <c r="F5" s="39"/>
      <c r="G5" s="39"/>
      <c r="H5" s="56"/>
      <c r="I5" s="56"/>
      <c r="J5" s="39"/>
      <c r="K5" s="56"/>
      <c r="L5" s="56"/>
      <c r="M5" s="39"/>
      <c r="N5" s="193" t="s">
        <v>464</v>
      </c>
      <c r="O5" s="56"/>
      <c r="P5" s="39"/>
      <c r="Q5" s="197" t="s">
        <v>143</v>
      </c>
      <c r="R5" s="106" t="s">
        <v>144</v>
      </c>
      <c r="S5" s="199" t="s">
        <v>597</v>
      </c>
      <c r="T5" s="200"/>
      <c r="U5" s="200"/>
      <c r="V5" s="200"/>
      <c r="W5" s="201"/>
    </row>
    <row r="6" spans="1:23" ht="22.5" customHeight="1" x14ac:dyDescent="0.15">
      <c r="A6" s="209"/>
      <c r="B6" s="54" t="s">
        <v>145</v>
      </c>
      <c r="C6" s="41"/>
      <c r="D6" s="42"/>
      <c r="E6" s="60"/>
      <c r="F6" s="42"/>
      <c r="G6" s="43"/>
      <c r="H6" s="59"/>
      <c r="I6" s="60"/>
      <c r="J6" s="61"/>
      <c r="K6" s="60"/>
      <c r="L6" s="59"/>
      <c r="M6" s="42"/>
      <c r="N6" s="194"/>
      <c r="O6" s="60"/>
      <c r="P6" s="61"/>
      <c r="Q6" s="198"/>
      <c r="R6" s="62" t="s">
        <v>146</v>
      </c>
      <c r="S6" s="202"/>
      <c r="T6" s="203"/>
      <c r="U6" s="203"/>
      <c r="V6" s="203"/>
      <c r="W6" s="204"/>
    </row>
    <row r="7" spans="1:23" ht="22.5" customHeight="1" x14ac:dyDescent="0.15">
      <c r="A7" s="226" t="s">
        <v>589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205" t="s">
        <v>148</v>
      </c>
      <c r="L7" s="200"/>
      <c r="M7" s="200"/>
      <c r="N7" s="200"/>
      <c r="O7" s="200"/>
      <c r="P7" s="200"/>
      <c r="Q7" s="200"/>
      <c r="R7" s="206"/>
      <c r="S7" s="199" t="s">
        <v>149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61"/>
      <c r="K8" s="41"/>
      <c r="L8" s="63">
        <v>1</v>
      </c>
      <c r="M8" s="63">
        <v>0</v>
      </c>
      <c r="N8" s="64">
        <v>1</v>
      </c>
      <c r="O8" s="41"/>
      <c r="P8" s="63">
        <v>1</v>
      </c>
      <c r="Q8" s="63">
        <v>0</v>
      </c>
      <c r="R8" s="66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590</v>
      </c>
      <c r="B9" s="197" t="s">
        <v>151</v>
      </c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226" t="s">
        <v>591</v>
      </c>
      <c r="B11" s="197" t="s">
        <v>151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226" t="s">
        <v>592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593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594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226" t="s">
        <v>595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596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48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'D0130'!J28+1</f>
        <v>51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5">
    <mergeCell ref="A7:A8"/>
    <mergeCell ref="B7:B8"/>
    <mergeCell ref="S7:W8"/>
    <mergeCell ref="A9:A10"/>
    <mergeCell ref="S9:W10"/>
    <mergeCell ref="A3:A4"/>
    <mergeCell ref="B3:B4"/>
    <mergeCell ref="S3:W4"/>
    <mergeCell ref="A5:A6"/>
    <mergeCell ref="S5:W6"/>
    <mergeCell ref="S15:W16"/>
    <mergeCell ref="A17:A18"/>
    <mergeCell ref="S17:W18"/>
    <mergeCell ref="A11:A12"/>
    <mergeCell ref="B11:B12"/>
    <mergeCell ref="S11:W12"/>
    <mergeCell ref="A13:A14"/>
    <mergeCell ref="B13:B14"/>
    <mergeCell ref="S13:W14"/>
    <mergeCell ref="A23:A24"/>
    <mergeCell ref="B23:B24"/>
    <mergeCell ref="S23:W24"/>
    <mergeCell ref="N5:N6"/>
    <mergeCell ref="Q5:Q6"/>
    <mergeCell ref="K7:R7"/>
    <mergeCell ref="B9:B10"/>
    <mergeCell ref="B17:B18"/>
    <mergeCell ref="A19:A20"/>
    <mergeCell ref="B19:B20"/>
    <mergeCell ref="S19:W20"/>
    <mergeCell ref="A21:A22"/>
    <mergeCell ref="B21:B22"/>
    <mergeCell ref="S21:W22"/>
    <mergeCell ref="A15:A16"/>
    <mergeCell ref="B15:B16"/>
  </mergeCells>
  <phoneticPr fontId="18"/>
  <hyperlinks>
    <hyperlink ref="A1" location="レジスタ概要!A1" display="レジスタ概要!A1" xr:uid="{00000000-0004-0000-0A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A1:W29"/>
  <sheetViews>
    <sheetView view="pageBreakPreview" topLeftCell="A4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598</v>
      </c>
      <c r="B5" s="57" t="s">
        <v>465</v>
      </c>
      <c r="C5" s="68"/>
      <c r="D5" s="84"/>
      <c r="E5" s="84"/>
      <c r="F5" s="84"/>
      <c r="G5" s="84"/>
      <c r="H5" s="84"/>
      <c r="I5" s="84"/>
      <c r="J5" s="39"/>
      <c r="K5" s="39"/>
      <c r="L5" s="89"/>
      <c r="M5" s="89"/>
      <c r="N5" s="233" t="s">
        <v>371</v>
      </c>
      <c r="O5" s="234" t="s">
        <v>372</v>
      </c>
      <c r="P5" s="235"/>
      <c r="Q5" s="236"/>
      <c r="R5" s="224" t="s">
        <v>373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67" t="s">
        <v>374</v>
      </c>
      <c r="C6" s="94"/>
      <c r="D6" s="95"/>
      <c r="E6" s="95"/>
      <c r="F6" s="95"/>
      <c r="G6" s="96"/>
      <c r="H6" s="95"/>
      <c r="I6" s="95"/>
      <c r="J6" s="42"/>
      <c r="K6" s="43"/>
      <c r="L6" s="95"/>
      <c r="M6" s="97"/>
      <c r="N6" s="229"/>
      <c r="O6" s="75" t="s">
        <v>375</v>
      </c>
      <c r="P6" s="76" t="s">
        <v>376</v>
      </c>
      <c r="Q6" s="102" t="s">
        <v>377</v>
      </c>
      <c r="R6" s="198"/>
      <c r="S6" s="202"/>
      <c r="T6" s="203"/>
      <c r="U6" s="203"/>
      <c r="V6" s="203"/>
      <c r="W6" s="204"/>
    </row>
    <row r="7" spans="1:23" ht="22.5" customHeight="1" x14ac:dyDescent="0.15">
      <c r="A7" s="226" t="s">
        <v>599</v>
      </c>
      <c r="B7" s="53" t="s">
        <v>466</v>
      </c>
      <c r="C7" s="38"/>
      <c r="D7" s="39"/>
      <c r="E7" s="39"/>
      <c r="F7" s="39"/>
      <c r="G7" s="39"/>
      <c r="H7" s="39"/>
      <c r="I7" s="39"/>
      <c r="J7" s="39"/>
      <c r="K7" s="39"/>
      <c r="L7" s="90"/>
      <c r="M7" s="90"/>
      <c r="N7" s="228" t="s">
        <v>371</v>
      </c>
      <c r="O7" s="230" t="s">
        <v>372</v>
      </c>
      <c r="P7" s="231"/>
      <c r="Q7" s="232"/>
      <c r="R7" s="197" t="s">
        <v>373</v>
      </c>
      <c r="S7" s="199" t="s">
        <v>390</v>
      </c>
      <c r="T7" s="200"/>
      <c r="U7" s="200"/>
      <c r="V7" s="200"/>
      <c r="W7" s="201"/>
    </row>
    <row r="8" spans="1:23" ht="22.5" customHeight="1" x14ac:dyDescent="0.15">
      <c r="A8" s="209"/>
      <c r="B8" s="54" t="s">
        <v>378</v>
      </c>
      <c r="C8" s="41"/>
      <c r="D8" s="42"/>
      <c r="E8" s="42"/>
      <c r="F8" s="42"/>
      <c r="G8" s="43"/>
      <c r="H8" s="42"/>
      <c r="I8" s="42"/>
      <c r="J8" s="42"/>
      <c r="K8" s="43"/>
      <c r="L8" s="42"/>
      <c r="M8" s="61"/>
      <c r="N8" s="229"/>
      <c r="O8" s="107" t="s">
        <v>375</v>
      </c>
      <c r="P8" s="70" t="s">
        <v>376</v>
      </c>
      <c r="Q8" s="71" t="s">
        <v>377</v>
      </c>
      <c r="R8" s="198"/>
      <c r="S8" s="202"/>
      <c r="T8" s="203"/>
      <c r="U8" s="203"/>
      <c r="V8" s="203"/>
      <c r="W8" s="204"/>
    </row>
    <row r="9" spans="1:23" ht="22.5" customHeight="1" x14ac:dyDescent="0.15">
      <c r="A9" s="226" t="s">
        <v>600</v>
      </c>
      <c r="B9" s="53" t="s">
        <v>467</v>
      </c>
      <c r="C9" s="38"/>
      <c r="D9" s="39"/>
      <c r="E9" s="39"/>
      <c r="F9" s="39"/>
      <c r="G9" s="39"/>
      <c r="H9" s="39"/>
      <c r="I9" s="39"/>
      <c r="J9" s="39"/>
      <c r="K9" s="39"/>
      <c r="L9" s="90"/>
      <c r="M9" s="90"/>
      <c r="N9" s="228" t="s">
        <v>371</v>
      </c>
      <c r="O9" s="230" t="s">
        <v>372</v>
      </c>
      <c r="P9" s="231"/>
      <c r="Q9" s="232"/>
      <c r="R9" s="197" t="s">
        <v>373</v>
      </c>
      <c r="S9" s="199" t="s">
        <v>390</v>
      </c>
      <c r="T9" s="200"/>
      <c r="U9" s="200"/>
      <c r="V9" s="200"/>
      <c r="W9" s="201"/>
    </row>
    <row r="10" spans="1:23" ht="22.5" customHeight="1" x14ac:dyDescent="0.15">
      <c r="A10" s="209"/>
      <c r="B10" s="54" t="s">
        <v>378</v>
      </c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61"/>
      <c r="N10" s="229"/>
      <c r="O10" s="107" t="s">
        <v>375</v>
      </c>
      <c r="P10" s="70" t="s">
        <v>376</v>
      </c>
      <c r="Q10" s="71" t="s">
        <v>377</v>
      </c>
      <c r="R10" s="198"/>
      <c r="S10" s="202"/>
      <c r="T10" s="203"/>
      <c r="U10" s="203"/>
      <c r="V10" s="203"/>
      <c r="W10" s="204"/>
    </row>
    <row r="11" spans="1:23" ht="22.5" customHeight="1" x14ac:dyDescent="0.15">
      <c r="A11" s="226" t="s">
        <v>168</v>
      </c>
      <c r="B11" s="53" t="s">
        <v>468</v>
      </c>
      <c r="C11" s="38"/>
      <c r="D11" s="39"/>
      <c r="E11" s="39"/>
      <c r="F11" s="39"/>
      <c r="G11" s="39"/>
      <c r="H11" s="39"/>
      <c r="I11" s="39"/>
      <c r="J11" s="39"/>
      <c r="K11" s="39"/>
      <c r="L11" s="90"/>
      <c r="M11" s="90"/>
      <c r="N11" s="228" t="s">
        <v>371</v>
      </c>
      <c r="O11" s="230" t="s">
        <v>372</v>
      </c>
      <c r="P11" s="231"/>
      <c r="Q11" s="232"/>
      <c r="R11" s="197" t="s">
        <v>373</v>
      </c>
      <c r="S11" s="199" t="s">
        <v>390</v>
      </c>
      <c r="T11" s="200"/>
      <c r="U11" s="200"/>
      <c r="V11" s="200"/>
      <c r="W11" s="201"/>
    </row>
    <row r="12" spans="1:23" ht="22.5" customHeight="1" x14ac:dyDescent="0.15">
      <c r="A12" s="209"/>
      <c r="B12" s="54" t="s">
        <v>378</v>
      </c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61"/>
      <c r="N12" s="229"/>
      <c r="O12" s="107" t="s">
        <v>375</v>
      </c>
      <c r="P12" s="70" t="s">
        <v>376</v>
      </c>
      <c r="Q12" s="71" t="s">
        <v>377</v>
      </c>
      <c r="R12" s="198"/>
      <c r="S12" s="202"/>
      <c r="T12" s="203"/>
      <c r="U12" s="203"/>
      <c r="V12" s="203"/>
      <c r="W12" s="204"/>
    </row>
    <row r="13" spans="1:23" ht="22.5" customHeight="1" x14ac:dyDescent="0.15">
      <c r="A13" s="226" t="s">
        <v>169</v>
      </c>
      <c r="B13" s="53" t="s">
        <v>469</v>
      </c>
      <c r="C13" s="38"/>
      <c r="D13" s="39"/>
      <c r="E13" s="39"/>
      <c r="F13" s="39"/>
      <c r="G13" s="39"/>
      <c r="H13" s="39"/>
      <c r="I13" s="39"/>
      <c r="J13" s="39"/>
      <c r="K13" s="39"/>
      <c r="L13" s="90"/>
      <c r="M13" s="90"/>
      <c r="N13" s="228" t="s">
        <v>371</v>
      </c>
      <c r="O13" s="230" t="s">
        <v>372</v>
      </c>
      <c r="P13" s="231"/>
      <c r="Q13" s="232"/>
      <c r="R13" s="197" t="s">
        <v>373</v>
      </c>
      <c r="S13" s="199" t="s">
        <v>390</v>
      </c>
      <c r="T13" s="200"/>
      <c r="U13" s="200"/>
      <c r="V13" s="200"/>
      <c r="W13" s="201"/>
    </row>
    <row r="14" spans="1:23" ht="22.5" customHeight="1" x14ac:dyDescent="0.15">
      <c r="A14" s="209"/>
      <c r="B14" s="54" t="s">
        <v>378</v>
      </c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61"/>
      <c r="N14" s="229"/>
      <c r="O14" s="107" t="s">
        <v>375</v>
      </c>
      <c r="P14" s="70" t="s">
        <v>376</v>
      </c>
      <c r="Q14" s="71" t="s">
        <v>377</v>
      </c>
      <c r="R14" s="198"/>
      <c r="S14" s="202"/>
      <c r="T14" s="203"/>
      <c r="U14" s="203"/>
      <c r="V14" s="203"/>
      <c r="W14" s="204"/>
    </row>
    <row r="15" spans="1:23" ht="22.5" customHeight="1" x14ac:dyDescent="0.15">
      <c r="A15" s="226" t="s">
        <v>170</v>
      </c>
      <c r="B15" s="53" t="s">
        <v>470</v>
      </c>
      <c r="C15" s="38"/>
      <c r="D15" s="39"/>
      <c r="E15" s="39"/>
      <c r="F15" s="39"/>
      <c r="G15" s="39"/>
      <c r="H15" s="39"/>
      <c r="I15" s="39"/>
      <c r="J15" s="39"/>
      <c r="K15" s="39"/>
      <c r="L15" s="90"/>
      <c r="M15" s="90"/>
      <c r="N15" s="228" t="s">
        <v>371</v>
      </c>
      <c r="O15" s="230" t="s">
        <v>372</v>
      </c>
      <c r="P15" s="231"/>
      <c r="Q15" s="232"/>
      <c r="R15" s="197" t="s">
        <v>373</v>
      </c>
      <c r="S15" s="199" t="s">
        <v>390</v>
      </c>
      <c r="T15" s="200"/>
      <c r="U15" s="200"/>
      <c r="V15" s="200"/>
      <c r="W15" s="201"/>
    </row>
    <row r="16" spans="1:23" ht="22.5" customHeight="1" x14ac:dyDescent="0.15">
      <c r="A16" s="209"/>
      <c r="B16" s="54" t="s">
        <v>378</v>
      </c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61"/>
      <c r="N16" s="229"/>
      <c r="O16" s="107" t="s">
        <v>375</v>
      </c>
      <c r="P16" s="70" t="s">
        <v>376</v>
      </c>
      <c r="Q16" s="71" t="s">
        <v>377</v>
      </c>
      <c r="R16" s="198"/>
      <c r="S16" s="202"/>
      <c r="T16" s="203"/>
      <c r="U16" s="203"/>
      <c r="V16" s="203"/>
      <c r="W16" s="204"/>
    </row>
    <row r="17" spans="1:23" ht="22.5" customHeight="1" x14ac:dyDescent="0.15">
      <c r="A17" s="226" t="s">
        <v>171</v>
      </c>
      <c r="B17" s="53" t="s">
        <v>558</v>
      </c>
      <c r="C17" s="38"/>
      <c r="D17" s="39"/>
      <c r="E17" s="39"/>
      <c r="F17" s="39"/>
      <c r="G17" s="39"/>
      <c r="H17" s="39"/>
      <c r="I17" s="39"/>
      <c r="J17" s="39"/>
      <c r="K17" s="39"/>
      <c r="L17" s="90"/>
      <c r="M17" s="90"/>
      <c r="N17" s="228" t="s">
        <v>371</v>
      </c>
      <c r="O17" s="230" t="s">
        <v>372</v>
      </c>
      <c r="P17" s="231"/>
      <c r="Q17" s="232"/>
      <c r="R17" s="197" t="s">
        <v>373</v>
      </c>
      <c r="S17" s="199" t="s">
        <v>772</v>
      </c>
      <c r="T17" s="200"/>
      <c r="U17" s="200"/>
      <c r="V17" s="200"/>
      <c r="W17" s="201"/>
    </row>
    <row r="18" spans="1:23" ht="22.5" customHeight="1" x14ac:dyDescent="0.15">
      <c r="A18" s="209"/>
      <c r="B18" s="54" t="s">
        <v>374</v>
      </c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61"/>
      <c r="N18" s="229"/>
      <c r="O18" s="107" t="s">
        <v>375</v>
      </c>
      <c r="P18" s="70" t="s">
        <v>376</v>
      </c>
      <c r="Q18" s="71" t="s">
        <v>377</v>
      </c>
      <c r="R18" s="198"/>
      <c r="S18" s="202"/>
      <c r="T18" s="203"/>
      <c r="U18" s="203"/>
      <c r="V18" s="203"/>
      <c r="W18" s="204"/>
    </row>
    <row r="19" spans="1:23" ht="22.5" customHeight="1" x14ac:dyDescent="0.15">
      <c r="A19" s="226" t="s">
        <v>172</v>
      </c>
      <c r="B19" s="136" t="s">
        <v>708</v>
      </c>
      <c r="C19" s="38"/>
      <c r="D19" s="39"/>
      <c r="E19" s="39"/>
      <c r="F19" s="39"/>
      <c r="G19" s="39"/>
      <c r="H19" s="39"/>
      <c r="I19" s="39"/>
      <c r="J19" s="39"/>
      <c r="K19" s="39"/>
      <c r="L19" s="145"/>
      <c r="M19" s="145"/>
      <c r="N19" s="228" t="s">
        <v>371</v>
      </c>
      <c r="O19" s="230" t="s">
        <v>372</v>
      </c>
      <c r="P19" s="231"/>
      <c r="Q19" s="232"/>
      <c r="R19" s="197" t="s">
        <v>373</v>
      </c>
      <c r="S19" s="199" t="s">
        <v>772</v>
      </c>
      <c r="T19" s="200"/>
      <c r="U19" s="200"/>
      <c r="V19" s="200"/>
      <c r="W19" s="201"/>
    </row>
    <row r="20" spans="1:23" ht="22.5" customHeight="1" x14ac:dyDescent="0.15">
      <c r="A20" s="209"/>
      <c r="B20" s="137" t="s">
        <v>374</v>
      </c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61"/>
      <c r="N20" s="229"/>
      <c r="O20" s="107" t="s">
        <v>375</v>
      </c>
      <c r="P20" s="70" t="s">
        <v>376</v>
      </c>
      <c r="Q20" s="71" t="s">
        <v>377</v>
      </c>
      <c r="R20" s="198"/>
      <c r="S20" s="202"/>
      <c r="T20" s="203"/>
      <c r="U20" s="203"/>
      <c r="V20" s="203"/>
      <c r="W20" s="204"/>
    </row>
    <row r="21" spans="1:23" ht="22.5" customHeight="1" x14ac:dyDescent="0.15">
      <c r="A21" s="226" t="s">
        <v>173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50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'D0140'!J28+1</f>
        <v>52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9">
    <mergeCell ref="A3:A4"/>
    <mergeCell ref="B3:B4"/>
    <mergeCell ref="S3:W4"/>
    <mergeCell ref="A5:A6"/>
    <mergeCell ref="S5:W6"/>
    <mergeCell ref="N5:N6"/>
    <mergeCell ref="O5:Q5"/>
    <mergeCell ref="R5:R6"/>
    <mergeCell ref="A7:A8"/>
    <mergeCell ref="S7:W8"/>
    <mergeCell ref="A9:A10"/>
    <mergeCell ref="S9:W10"/>
    <mergeCell ref="N7:N8"/>
    <mergeCell ref="O7:Q7"/>
    <mergeCell ref="R7:R8"/>
    <mergeCell ref="N9:N10"/>
    <mergeCell ref="O9:Q9"/>
    <mergeCell ref="R9:R10"/>
    <mergeCell ref="A11:A12"/>
    <mergeCell ref="S11:W12"/>
    <mergeCell ref="A13:A14"/>
    <mergeCell ref="S13:W14"/>
    <mergeCell ref="N13:N14"/>
    <mergeCell ref="O13:Q13"/>
    <mergeCell ref="R13:R14"/>
    <mergeCell ref="N11:N12"/>
    <mergeCell ref="O11:Q11"/>
    <mergeCell ref="R11:R12"/>
    <mergeCell ref="A15:A16"/>
    <mergeCell ref="S15:W16"/>
    <mergeCell ref="A17:A18"/>
    <mergeCell ref="S17:W18"/>
    <mergeCell ref="N15:N16"/>
    <mergeCell ref="O15:Q15"/>
    <mergeCell ref="R15:R16"/>
    <mergeCell ref="N17:N18"/>
    <mergeCell ref="O17:Q17"/>
    <mergeCell ref="R17:R18"/>
    <mergeCell ref="B23:B24"/>
    <mergeCell ref="A23:A24"/>
    <mergeCell ref="S23:W24"/>
    <mergeCell ref="A19:A20"/>
    <mergeCell ref="S19:W20"/>
    <mergeCell ref="A21:A22"/>
    <mergeCell ref="S21:W22"/>
    <mergeCell ref="N19:N20"/>
    <mergeCell ref="O19:Q19"/>
    <mergeCell ref="R19:R20"/>
    <mergeCell ref="B21:B22"/>
  </mergeCells>
  <phoneticPr fontId="18"/>
  <hyperlinks>
    <hyperlink ref="A1" location="レジスタ概要!A1" display="レジスタ概要!A1" xr:uid="{00000000-0004-0000-0B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A1:W29"/>
  <sheetViews>
    <sheetView view="pageBreakPreview" topLeftCell="A4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601</v>
      </c>
      <c r="B5" s="53" t="s">
        <v>471</v>
      </c>
      <c r="C5" s="38"/>
      <c r="D5" s="39"/>
      <c r="E5" s="39"/>
      <c r="F5" s="39"/>
      <c r="G5" s="39"/>
      <c r="H5" s="39"/>
      <c r="I5" s="39"/>
      <c r="J5" s="39"/>
      <c r="K5" s="199" t="s">
        <v>391</v>
      </c>
      <c r="L5" s="200"/>
      <c r="M5" s="200"/>
      <c r="N5" s="200"/>
      <c r="O5" s="200"/>
      <c r="P5" s="200"/>
      <c r="Q5" s="200"/>
      <c r="R5" s="206"/>
      <c r="S5" s="199" t="s">
        <v>392</v>
      </c>
      <c r="T5" s="200"/>
      <c r="U5" s="200"/>
      <c r="V5" s="200"/>
      <c r="W5" s="201"/>
    </row>
    <row r="6" spans="1:23" ht="22.5" customHeight="1" x14ac:dyDescent="0.15">
      <c r="A6" s="209"/>
      <c r="B6" s="54" t="s">
        <v>393</v>
      </c>
      <c r="C6" s="41"/>
      <c r="D6" s="42"/>
      <c r="E6" s="42"/>
      <c r="F6" s="42"/>
      <c r="G6" s="43"/>
      <c r="H6" s="42"/>
      <c r="I6" s="42"/>
      <c r="J6" s="42"/>
      <c r="K6" s="41"/>
      <c r="L6" s="63">
        <v>1</v>
      </c>
      <c r="M6" s="63">
        <v>0</v>
      </c>
      <c r="N6" s="64">
        <v>1</v>
      </c>
      <c r="O6" s="41"/>
      <c r="P6" s="63">
        <v>1</v>
      </c>
      <c r="Q6" s="63">
        <v>0</v>
      </c>
      <c r="R6" s="66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602</v>
      </c>
      <c r="B7" s="53" t="s">
        <v>472</v>
      </c>
      <c r="C7" s="38"/>
      <c r="D7" s="39"/>
      <c r="E7" s="39"/>
      <c r="F7" s="39"/>
      <c r="G7" s="39"/>
      <c r="H7" s="39"/>
      <c r="I7" s="39"/>
      <c r="J7" s="39"/>
      <c r="K7" s="199" t="s">
        <v>148</v>
      </c>
      <c r="L7" s="200"/>
      <c r="M7" s="200"/>
      <c r="N7" s="200"/>
      <c r="O7" s="200"/>
      <c r="P7" s="200"/>
      <c r="Q7" s="200"/>
      <c r="R7" s="206"/>
      <c r="S7" s="199" t="s">
        <v>166</v>
      </c>
      <c r="T7" s="200"/>
      <c r="U7" s="200"/>
      <c r="V7" s="200"/>
      <c r="W7" s="201"/>
    </row>
    <row r="8" spans="1:23" ht="22.5" customHeight="1" x14ac:dyDescent="0.15">
      <c r="A8" s="209"/>
      <c r="B8" s="54" t="s">
        <v>167</v>
      </c>
      <c r="C8" s="41"/>
      <c r="D8" s="42"/>
      <c r="E8" s="42"/>
      <c r="F8" s="42"/>
      <c r="G8" s="43"/>
      <c r="H8" s="42"/>
      <c r="I8" s="42"/>
      <c r="J8" s="42"/>
      <c r="K8" s="41"/>
      <c r="L8" s="63">
        <v>1</v>
      </c>
      <c r="M8" s="63">
        <v>0</v>
      </c>
      <c r="N8" s="64">
        <v>1</v>
      </c>
      <c r="O8" s="41"/>
      <c r="P8" s="63">
        <v>1</v>
      </c>
      <c r="Q8" s="63">
        <v>0</v>
      </c>
      <c r="R8" s="66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603</v>
      </c>
      <c r="B9" s="53" t="s">
        <v>473</v>
      </c>
      <c r="C9" s="38"/>
      <c r="D9" s="39"/>
      <c r="E9" s="39"/>
      <c r="F9" s="39"/>
      <c r="G9" s="39"/>
      <c r="H9" s="39"/>
      <c r="I9" s="39"/>
      <c r="J9" s="39"/>
      <c r="K9" s="199" t="s">
        <v>148</v>
      </c>
      <c r="L9" s="200"/>
      <c r="M9" s="200"/>
      <c r="N9" s="200"/>
      <c r="O9" s="200"/>
      <c r="P9" s="200"/>
      <c r="Q9" s="200"/>
      <c r="R9" s="206"/>
      <c r="S9" s="199" t="s">
        <v>166</v>
      </c>
      <c r="T9" s="200"/>
      <c r="U9" s="200"/>
      <c r="V9" s="200"/>
      <c r="W9" s="201"/>
    </row>
    <row r="10" spans="1:23" ht="22.5" customHeight="1" x14ac:dyDescent="0.15">
      <c r="A10" s="209"/>
      <c r="B10" s="54" t="s">
        <v>167</v>
      </c>
      <c r="C10" s="41"/>
      <c r="D10" s="42"/>
      <c r="E10" s="42"/>
      <c r="F10" s="42"/>
      <c r="G10" s="43"/>
      <c r="H10" s="42"/>
      <c r="I10" s="42"/>
      <c r="J10" s="42"/>
      <c r="K10" s="41"/>
      <c r="L10" s="63">
        <v>1</v>
      </c>
      <c r="M10" s="63">
        <v>0</v>
      </c>
      <c r="N10" s="64">
        <v>1</v>
      </c>
      <c r="O10" s="41"/>
      <c r="P10" s="63">
        <v>1</v>
      </c>
      <c r="Q10" s="63">
        <v>0</v>
      </c>
      <c r="R10" s="66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604</v>
      </c>
      <c r="B11" s="53" t="s">
        <v>474</v>
      </c>
      <c r="C11" s="38"/>
      <c r="D11" s="39"/>
      <c r="E11" s="39"/>
      <c r="F11" s="39"/>
      <c r="G11" s="39"/>
      <c r="H11" s="39"/>
      <c r="I11" s="39"/>
      <c r="J11" s="39"/>
      <c r="K11" s="199" t="s">
        <v>148</v>
      </c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54" t="s">
        <v>167</v>
      </c>
      <c r="C12" s="41"/>
      <c r="D12" s="42"/>
      <c r="E12" s="42"/>
      <c r="F12" s="42"/>
      <c r="G12" s="43"/>
      <c r="H12" s="42"/>
      <c r="I12" s="42"/>
      <c r="J12" s="42"/>
      <c r="K12" s="41"/>
      <c r="L12" s="63">
        <v>1</v>
      </c>
      <c r="M12" s="63">
        <v>0</v>
      </c>
      <c r="N12" s="64">
        <v>1</v>
      </c>
      <c r="O12" s="41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605</v>
      </c>
      <c r="B13" s="53" t="s">
        <v>475</v>
      </c>
      <c r="C13" s="38"/>
      <c r="D13" s="39"/>
      <c r="E13" s="39"/>
      <c r="F13" s="39"/>
      <c r="G13" s="39"/>
      <c r="H13" s="39"/>
      <c r="I13" s="39"/>
      <c r="J13" s="39"/>
      <c r="K13" s="199" t="s">
        <v>148</v>
      </c>
      <c r="L13" s="200"/>
      <c r="M13" s="200"/>
      <c r="N13" s="200"/>
      <c r="O13" s="200"/>
      <c r="P13" s="200"/>
      <c r="Q13" s="200"/>
      <c r="R13" s="206"/>
      <c r="S13" s="199" t="s">
        <v>166</v>
      </c>
      <c r="T13" s="200"/>
      <c r="U13" s="200"/>
      <c r="V13" s="200"/>
      <c r="W13" s="201"/>
    </row>
    <row r="14" spans="1:23" ht="22.5" customHeight="1" x14ac:dyDescent="0.15">
      <c r="A14" s="209"/>
      <c r="B14" s="54" t="s">
        <v>167</v>
      </c>
      <c r="C14" s="41"/>
      <c r="D14" s="42"/>
      <c r="E14" s="42"/>
      <c r="F14" s="42"/>
      <c r="G14" s="43"/>
      <c r="H14" s="42"/>
      <c r="I14" s="42"/>
      <c r="J14" s="42"/>
      <c r="K14" s="41"/>
      <c r="L14" s="63">
        <v>1</v>
      </c>
      <c r="M14" s="63">
        <v>0</v>
      </c>
      <c r="N14" s="64">
        <v>1</v>
      </c>
      <c r="O14" s="41"/>
      <c r="P14" s="63">
        <v>1</v>
      </c>
      <c r="Q14" s="63">
        <v>0</v>
      </c>
      <c r="R14" s="66">
        <v>0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606</v>
      </c>
      <c r="B15" s="53" t="s">
        <v>476</v>
      </c>
      <c r="C15" s="38"/>
      <c r="D15" s="39"/>
      <c r="E15" s="39"/>
      <c r="F15" s="39"/>
      <c r="G15" s="39"/>
      <c r="H15" s="39"/>
      <c r="I15" s="39"/>
      <c r="J15" s="39"/>
      <c r="K15" s="199" t="s">
        <v>148</v>
      </c>
      <c r="L15" s="200"/>
      <c r="M15" s="200"/>
      <c r="N15" s="200"/>
      <c r="O15" s="200"/>
      <c r="P15" s="200"/>
      <c r="Q15" s="200"/>
      <c r="R15" s="206"/>
      <c r="S15" s="199" t="s">
        <v>166</v>
      </c>
      <c r="T15" s="200"/>
      <c r="U15" s="200"/>
      <c r="V15" s="200"/>
      <c r="W15" s="201"/>
    </row>
    <row r="16" spans="1:23" ht="22.5" customHeight="1" x14ac:dyDescent="0.15">
      <c r="A16" s="209"/>
      <c r="B16" s="54" t="s">
        <v>167</v>
      </c>
      <c r="C16" s="41"/>
      <c r="D16" s="42"/>
      <c r="E16" s="42"/>
      <c r="F16" s="42"/>
      <c r="G16" s="43"/>
      <c r="H16" s="42"/>
      <c r="I16" s="42"/>
      <c r="J16" s="42"/>
      <c r="K16" s="41"/>
      <c r="L16" s="63">
        <v>1</v>
      </c>
      <c r="M16" s="63">
        <v>0</v>
      </c>
      <c r="N16" s="64">
        <v>1</v>
      </c>
      <c r="O16" s="41"/>
      <c r="P16" s="63">
        <v>1</v>
      </c>
      <c r="Q16" s="63">
        <v>0</v>
      </c>
      <c r="R16" s="66">
        <v>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607</v>
      </c>
      <c r="B17" s="53" t="s">
        <v>559</v>
      </c>
      <c r="C17" s="38"/>
      <c r="D17" s="39"/>
      <c r="E17" s="39"/>
      <c r="F17" s="39"/>
      <c r="G17" s="39"/>
      <c r="H17" s="39"/>
      <c r="I17" s="39"/>
      <c r="J17" s="39"/>
      <c r="K17" s="199" t="s">
        <v>148</v>
      </c>
      <c r="L17" s="200"/>
      <c r="M17" s="200"/>
      <c r="N17" s="200"/>
      <c r="O17" s="200"/>
      <c r="P17" s="200"/>
      <c r="Q17" s="200"/>
      <c r="R17" s="206"/>
      <c r="S17" s="199" t="s">
        <v>784</v>
      </c>
      <c r="T17" s="200"/>
      <c r="U17" s="200"/>
      <c r="V17" s="200"/>
      <c r="W17" s="201"/>
    </row>
    <row r="18" spans="1:23" ht="22.5" customHeight="1" x14ac:dyDescent="0.15">
      <c r="A18" s="209"/>
      <c r="B18" s="54" t="s">
        <v>167</v>
      </c>
      <c r="C18" s="41"/>
      <c r="D18" s="42"/>
      <c r="E18" s="42"/>
      <c r="F18" s="42"/>
      <c r="G18" s="43"/>
      <c r="H18" s="42"/>
      <c r="I18" s="42"/>
      <c r="J18" s="42"/>
      <c r="K18" s="41"/>
      <c r="L18" s="63">
        <v>1</v>
      </c>
      <c r="M18" s="63">
        <v>0</v>
      </c>
      <c r="N18" s="64">
        <v>1</v>
      </c>
      <c r="O18" s="41"/>
      <c r="P18" s="63">
        <v>1</v>
      </c>
      <c r="Q18" s="63">
        <v>0</v>
      </c>
      <c r="R18" s="66">
        <v>0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608</v>
      </c>
      <c r="B19" s="136" t="s">
        <v>709</v>
      </c>
      <c r="C19" s="38"/>
      <c r="D19" s="39"/>
      <c r="E19" s="39"/>
      <c r="F19" s="39"/>
      <c r="G19" s="39"/>
      <c r="H19" s="39"/>
      <c r="I19" s="39"/>
      <c r="J19" s="39"/>
      <c r="K19" s="199" t="s">
        <v>148</v>
      </c>
      <c r="L19" s="200"/>
      <c r="M19" s="200"/>
      <c r="N19" s="200"/>
      <c r="O19" s="200"/>
      <c r="P19" s="200"/>
      <c r="Q19" s="200"/>
      <c r="R19" s="206"/>
      <c r="S19" s="199" t="s">
        <v>784</v>
      </c>
      <c r="T19" s="200"/>
      <c r="U19" s="200"/>
      <c r="V19" s="200"/>
      <c r="W19" s="201"/>
    </row>
    <row r="20" spans="1:23" ht="22.5" customHeight="1" x14ac:dyDescent="0.15">
      <c r="A20" s="209"/>
      <c r="B20" s="137" t="s">
        <v>167</v>
      </c>
      <c r="C20" s="41"/>
      <c r="D20" s="42"/>
      <c r="E20" s="42"/>
      <c r="F20" s="42"/>
      <c r="G20" s="43"/>
      <c r="H20" s="42"/>
      <c r="I20" s="42"/>
      <c r="J20" s="42"/>
      <c r="K20" s="41"/>
      <c r="L20" s="63">
        <v>1</v>
      </c>
      <c r="M20" s="63">
        <v>0</v>
      </c>
      <c r="N20" s="64">
        <v>1</v>
      </c>
      <c r="O20" s="41"/>
      <c r="P20" s="63">
        <v>1</v>
      </c>
      <c r="Q20" s="63">
        <v>0</v>
      </c>
      <c r="R20" s="66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609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54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'D0150'!J28+1</f>
        <v>53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3">
    <mergeCell ref="A3:A4"/>
    <mergeCell ref="B3:B4"/>
    <mergeCell ref="S3:W4"/>
    <mergeCell ref="A5:A6"/>
    <mergeCell ref="S5:W6"/>
    <mergeCell ref="A7:A8"/>
    <mergeCell ref="S7:W8"/>
    <mergeCell ref="K5:R5"/>
    <mergeCell ref="K7:R7"/>
    <mergeCell ref="A9:A10"/>
    <mergeCell ref="S9:W10"/>
    <mergeCell ref="A11:A12"/>
    <mergeCell ref="S11:W12"/>
    <mergeCell ref="A13:A14"/>
    <mergeCell ref="S13:W14"/>
    <mergeCell ref="K9:R9"/>
    <mergeCell ref="K13:R13"/>
    <mergeCell ref="K11:R11"/>
    <mergeCell ref="A15:A16"/>
    <mergeCell ref="S15:W16"/>
    <mergeCell ref="A17:A18"/>
    <mergeCell ref="S17:W18"/>
    <mergeCell ref="A19:A20"/>
    <mergeCell ref="S19:W20"/>
    <mergeCell ref="K15:R15"/>
    <mergeCell ref="K17:R17"/>
    <mergeCell ref="K19:R19"/>
    <mergeCell ref="A21:A22"/>
    <mergeCell ref="S21:W22"/>
    <mergeCell ref="A23:A24"/>
    <mergeCell ref="S23:W24"/>
    <mergeCell ref="B21:B22"/>
    <mergeCell ref="B23:B24"/>
  </mergeCells>
  <phoneticPr fontId="18"/>
  <hyperlinks>
    <hyperlink ref="A1" location="レジスタ概要!A1" display="レジスタ概要!A1" xr:uid="{00000000-0004-0000-0D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pageSetUpPr fitToPage="1"/>
  </sheetPr>
  <dimension ref="A1:W29"/>
  <sheetViews>
    <sheetView view="pageBreakPreview" topLeftCell="A4" zoomScale="85" zoomScaleNormal="100" zoomScaleSheetLayoutView="85" workbookViewId="0">
      <selection activeCell="B8" sqref="B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〈入力／　　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610</v>
      </c>
      <c r="B5" s="53" t="s">
        <v>382</v>
      </c>
      <c r="C5" s="68"/>
      <c r="D5" s="84"/>
      <c r="E5" s="84"/>
      <c r="F5" s="84"/>
      <c r="G5" s="84"/>
      <c r="H5" s="84"/>
      <c r="I5" s="84"/>
      <c r="J5" s="39"/>
      <c r="K5" s="39"/>
      <c r="L5" s="89"/>
      <c r="M5" s="89"/>
      <c r="N5" s="233" t="s">
        <v>371</v>
      </c>
      <c r="O5" s="234" t="s">
        <v>372</v>
      </c>
      <c r="P5" s="235"/>
      <c r="Q5" s="236"/>
      <c r="R5" s="224" t="s">
        <v>373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164</v>
      </c>
      <c r="C6" s="94"/>
      <c r="D6" s="95"/>
      <c r="E6" s="95"/>
      <c r="F6" s="95"/>
      <c r="G6" s="96"/>
      <c r="H6" s="95"/>
      <c r="I6" s="95"/>
      <c r="J6" s="42"/>
      <c r="K6" s="43"/>
      <c r="L6" s="95"/>
      <c r="M6" s="97"/>
      <c r="N6" s="229"/>
      <c r="O6" s="75" t="s">
        <v>375</v>
      </c>
      <c r="P6" s="76" t="s">
        <v>376</v>
      </c>
      <c r="Q6" s="102" t="s">
        <v>377</v>
      </c>
      <c r="R6" s="198"/>
      <c r="S6" s="202"/>
      <c r="T6" s="203"/>
      <c r="U6" s="203"/>
      <c r="V6" s="203"/>
      <c r="W6" s="204"/>
    </row>
    <row r="7" spans="1:23" ht="22.5" customHeight="1" x14ac:dyDescent="0.15">
      <c r="A7" s="226" t="s">
        <v>611</v>
      </c>
      <c r="B7" s="53" t="s">
        <v>383</v>
      </c>
      <c r="C7" s="38"/>
      <c r="D7" s="39"/>
      <c r="E7" s="39"/>
      <c r="F7" s="39"/>
      <c r="G7" s="39"/>
      <c r="H7" s="39"/>
      <c r="I7" s="39"/>
      <c r="J7" s="39"/>
      <c r="K7" s="39"/>
      <c r="L7" s="90"/>
      <c r="M7" s="90"/>
      <c r="N7" s="228" t="s">
        <v>371</v>
      </c>
      <c r="O7" s="230" t="s">
        <v>372</v>
      </c>
      <c r="P7" s="231"/>
      <c r="Q7" s="232"/>
      <c r="R7" s="197" t="s">
        <v>373</v>
      </c>
      <c r="S7" s="199" t="s">
        <v>390</v>
      </c>
      <c r="T7" s="200"/>
      <c r="U7" s="200"/>
      <c r="V7" s="200"/>
      <c r="W7" s="201"/>
    </row>
    <row r="8" spans="1:23" ht="22.5" customHeight="1" x14ac:dyDescent="0.15">
      <c r="A8" s="209"/>
      <c r="B8" s="54" t="s">
        <v>164</v>
      </c>
      <c r="C8" s="41"/>
      <c r="D8" s="42"/>
      <c r="E8" s="42"/>
      <c r="F8" s="42"/>
      <c r="G8" s="43"/>
      <c r="H8" s="42"/>
      <c r="I8" s="42"/>
      <c r="J8" s="42"/>
      <c r="K8" s="43"/>
      <c r="L8" s="42"/>
      <c r="M8" s="61"/>
      <c r="N8" s="229"/>
      <c r="O8" s="107" t="s">
        <v>375</v>
      </c>
      <c r="P8" s="70" t="s">
        <v>376</v>
      </c>
      <c r="Q8" s="71" t="s">
        <v>377</v>
      </c>
      <c r="R8" s="198"/>
      <c r="S8" s="202"/>
      <c r="T8" s="203"/>
      <c r="U8" s="203"/>
      <c r="V8" s="203"/>
      <c r="W8" s="204"/>
    </row>
    <row r="9" spans="1:23" ht="22.5" customHeight="1" x14ac:dyDescent="0.15">
      <c r="A9" s="226" t="s">
        <v>612</v>
      </c>
      <c r="B9" s="197" t="s">
        <v>151</v>
      </c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226" t="s">
        <v>613</v>
      </c>
      <c r="B11" s="197" t="s">
        <v>151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226" t="s">
        <v>614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615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616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226" t="s">
        <v>617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618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58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'D0170'!J28+1</f>
        <v>54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7">
    <mergeCell ref="A3:A4"/>
    <mergeCell ref="B3:B4"/>
    <mergeCell ref="S3:W4"/>
    <mergeCell ref="A5:A6"/>
    <mergeCell ref="S5:W6"/>
    <mergeCell ref="N5:N6"/>
    <mergeCell ref="O5:Q5"/>
    <mergeCell ref="R5:R6"/>
    <mergeCell ref="S7:W8"/>
    <mergeCell ref="A9:A10"/>
    <mergeCell ref="S9:W10"/>
    <mergeCell ref="N7:N8"/>
    <mergeCell ref="O7:Q7"/>
    <mergeCell ref="R7:R8"/>
    <mergeCell ref="B9:B10"/>
    <mergeCell ref="A7:A8"/>
    <mergeCell ref="A11:A12"/>
    <mergeCell ref="S11:W12"/>
    <mergeCell ref="A13:A14"/>
    <mergeCell ref="S13:W14"/>
    <mergeCell ref="B13:B14"/>
    <mergeCell ref="B11:B12"/>
    <mergeCell ref="A15:A16"/>
    <mergeCell ref="S15:W16"/>
    <mergeCell ref="A17:A18"/>
    <mergeCell ref="S17:W18"/>
    <mergeCell ref="B15:B16"/>
    <mergeCell ref="B17:B18"/>
    <mergeCell ref="S19:W20"/>
    <mergeCell ref="A21:A22"/>
    <mergeCell ref="S21:W22"/>
    <mergeCell ref="A23:A24"/>
    <mergeCell ref="S23:W24"/>
    <mergeCell ref="A19:A20"/>
    <mergeCell ref="B21:B22"/>
    <mergeCell ref="B23:B24"/>
    <mergeCell ref="B19:B20"/>
  </mergeCells>
  <phoneticPr fontId="18"/>
  <hyperlinks>
    <hyperlink ref="A1" location="レジスタ概要!A1" display="レジスタ概要!A1" xr:uid="{00000000-0004-0000-0F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pageSetUpPr fitToPage="1"/>
  </sheetPr>
  <dimension ref="A1:W29"/>
  <sheetViews>
    <sheetView view="pageBreakPreview" zoomScale="85" zoomScaleNormal="100" zoomScaleSheetLayoutView="85" workbookViewId="0">
      <selection activeCell="B8" sqref="B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619</v>
      </c>
      <c r="B5" s="53" t="s">
        <v>382</v>
      </c>
      <c r="C5" s="38"/>
      <c r="D5" s="39"/>
      <c r="E5" s="39"/>
      <c r="F5" s="39"/>
      <c r="G5" s="39"/>
      <c r="H5" s="39"/>
      <c r="I5" s="39"/>
      <c r="J5" s="39"/>
      <c r="K5" s="199" t="s">
        <v>391</v>
      </c>
      <c r="L5" s="200"/>
      <c r="M5" s="200"/>
      <c r="N5" s="200"/>
      <c r="O5" s="200"/>
      <c r="P5" s="200"/>
      <c r="Q5" s="200"/>
      <c r="R5" s="206"/>
      <c r="S5" s="199" t="s">
        <v>392</v>
      </c>
      <c r="T5" s="200"/>
      <c r="U5" s="200"/>
      <c r="V5" s="200"/>
      <c r="W5" s="201"/>
    </row>
    <row r="6" spans="1:23" ht="22.5" customHeight="1" x14ac:dyDescent="0.15">
      <c r="A6" s="209"/>
      <c r="B6" s="54" t="s">
        <v>167</v>
      </c>
      <c r="C6" s="41"/>
      <c r="D6" s="42"/>
      <c r="E6" s="42"/>
      <c r="F6" s="42"/>
      <c r="G6" s="43"/>
      <c r="H6" s="42"/>
      <c r="I6" s="42"/>
      <c r="J6" s="42"/>
      <c r="K6" s="41"/>
      <c r="L6" s="63">
        <v>1</v>
      </c>
      <c r="M6" s="63">
        <v>0</v>
      </c>
      <c r="N6" s="64">
        <v>1</v>
      </c>
      <c r="O6" s="41"/>
      <c r="P6" s="63">
        <v>1</v>
      </c>
      <c r="Q6" s="63">
        <v>0</v>
      </c>
      <c r="R6" s="66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620</v>
      </c>
      <c r="B7" s="53" t="s">
        <v>383</v>
      </c>
      <c r="C7" s="38"/>
      <c r="D7" s="39"/>
      <c r="E7" s="39"/>
      <c r="F7" s="39"/>
      <c r="G7" s="39"/>
      <c r="H7" s="39"/>
      <c r="I7" s="39"/>
      <c r="J7" s="39"/>
      <c r="K7" s="199" t="s">
        <v>148</v>
      </c>
      <c r="L7" s="200"/>
      <c r="M7" s="200"/>
      <c r="N7" s="200"/>
      <c r="O7" s="200"/>
      <c r="P7" s="200"/>
      <c r="Q7" s="200"/>
      <c r="R7" s="206"/>
      <c r="S7" s="199" t="s">
        <v>166</v>
      </c>
      <c r="T7" s="200"/>
      <c r="U7" s="200"/>
      <c r="V7" s="200"/>
      <c r="W7" s="201"/>
    </row>
    <row r="8" spans="1:23" ht="22.5" customHeight="1" x14ac:dyDescent="0.15">
      <c r="A8" s="209"/>
      <c r="B8" s="54" t="s">
        <v>167</v>
      </c>
      <c r="C8" s="41"/>
      <c r="D8" s="42"/>
      <c r="E8" s="42"/>
      <c r="F8" s="42"/>
      <c r="G8" s="43"/>
      <c r="H8" s="42"/>
      <c r="I8" s="42"/>
      <c r="J8" s="42"/>
      <c r="K8" s="41"/>
      <c r="L8" s="63">
        <v>1</v>
      </c>
      <c r="M8" s="63">
        <v>0</v>
      </c>
      <c r="N8" s="64">
        <v>1</v>
      </c>
      <c r="O8" s="41"/>
      <c r="P8" s="63">
        <v>1</v>
      </c>
      <c r="Q8" s="63">
        <v>0</v>
      </c>
      <c r="R8" s="66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621</v>
      </c>
      <c r="B9" s="197" t="s">
        <v>151</v>
      </c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226" t="s">
        <v>178</v>
      </c>
      <c r="B11" s="197" t="s">
        <v>151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226" t="s">
        <v>179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180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181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226" t="s">
        <v>182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183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60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'D0190'!J28+1</f>
        <v>55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3">
    <mergeCell ref="A3:A4"/>
    <mergeCell ref="B3:B4"/>
    <mergeCell ref="S3:W4"/>
    <mergeCell ref="A5:A6"/>
    <mergeCell ref="S5:W6"/>
    <mergeCell ref="K5:R5"/>
    <mergeCell ref="A7:A8"/>
    <mergeCell ref="S7:W8"/>
    <mergeCell ref="A9:A10"/>
    <mergeCell ref="S9:W10"/>
    <mergeCell ref="K7:R7"/>
    <mergeCell ref="B9:B10"/>
    <mergeCell ref="S11:W12"/>
    <mergeCell ref="A13:A14"/>
    <mergeCell ref="S13:W14"/>
    <mergeCell ref="A11:A12"/>
    <mergeCell ref="B13:B14"/>
    <mergeCell ref="B11:B12"/>
    <mergeCell ref="S15:W16"/>
    <mergeCell ref="A17:A18"/>
    <mergeCell ref="S17:W18"/>
    <mergeCell ref="A15:A16"/>
    <mergeCell ref="B17:B18"/>
    <mergeCell ref="B15:B16"/>
    <mergeCell ref="B23:B24"/>
    <mergeCell ref="A23:A24"/>
    <mergeCell ref="S23:W24"/>
    <mergeCell ref="S19:W20"/>
    <mergeCell ref="A21:A22"/>
    <mergeCell ref="S21:W22"/>
    <mergeCell ref="A19:A20"/>
    <mergeCell ref="B21:B22"/>
    <mergeCell ref="B19:B20"/>
  </mergeCells>
  <phoneticPr fontId="18"/>
  <hyperlinks>
    <hyperlink ref="A1" location="レジスタ概要!A1" display="レジスタ概要!A1" xr:uid="{00000000-0004-0000-10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pageSetUpPr fitToPage="1"/>
  </sheetPr>
  <dimension ref="A1:W29"/>
  <sheetViews>
    <sheetView view="pageBreakPreview" zoomScale="85" zoomScaleNormal="100" zoomScaleSheetLayoutView="85" workbookViewId="0">
      <selection activeCell="K20" sqref="K20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61</v>
      </c>
      <c r="B5" s="53" t="s">
        <v>471</v>
      </c>
      <c r="C5" s="199" t="s">
        <v>203</v>
      </c>
      <c r="D5" s="238"/>
      <c r="E5" s="39"/>
      <c r="F5" s="39"/>
      <c r="G5" s="39"/>
      <c r="H5" s="39"/>
      <c r="I5" s="240" t="s">
        <v>428</v>
      </c>
      <c r="J5" s="224" t="s">
        <v>427</v>
      </c>
      <c r="K5" s="39"/>
      <c r="L5" s="39"/>
      <c r="M5" s="39"/>
      <c r="N5" s="39"/>
      <c r="O5" s="68" t="s">
        <v>198</v>
      </c>
      <c r="P5" s="217" t="s">
        <v>165</v>
      </c>
      <c r="Q5" s="217" t="s">
        <v>199</v>
      </c>
      <c r="R5" s="57" t="s">
        <v>200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174</v>
      </c>
      <c r="C6" s="91"/>
      <c r="D6" s="92"/>
      <c r="E6" s="42"/>
      <c r="F6" s="42"/>
      <c r="G6" s="43"/>
      <c r="H6" s="42"/>
      <c r="I6" s="239"/>
      <c r="J6" s="239"/>
      <c r="K6" s="43"/>
      <c r="L6" s="42"/>
      <c r="M6" s="42"/>
      <c r="N6" s="61"/>
      <c r="O6" s="69" t="s">
        <v>175</v>
      </c>
      <c r="P6" s="237"/>
      <c r="Q6" s="237"/>
      <c r="R6" s="54" t="s">
        <v>175</v>
      </c>
      <c r="S6" s="202"/>
      <c r="T6" s="203"/>
      <c r="U6" s="203"/>
      <c r="V6" s="203"/>
      <c r="W6" s="204"/>
    </row>
    <row r="7" spans="1:23" ht="22.5" customHeight="1" x14ac:dyDescent="0.15">
      <c r="A7" s="195" t="s">
        <v>184</v>
      </c>
      <c r="B7" s="197" t="s">
        <v>379</v>
      </c>
      <c r="C7" s="199" t="s">
        <v>380</v>
      </c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38"/>
      <c r="S7" s="199" t="s">
        <v>381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59">
        <v>1</v>
      </c>
      <c r="E8" s="60">
        <v>0</v>
      </c>
      <c r="F8" s="99">
        <v>7</v>
      </c>
      <c r="G8" s="41"/>
      <c r="H8" s="59">
        <v>1</v>
      </c>
      <c r="I8" s="60">
        <v>0</v>
      </c>
      <c r="J8" s="99">
        <v>6</v>
      </c>
      <c r="K8" s="41"/>
      <c r="L8" s="59">
        <v>1</v>
      </c>
      <c r="M8" s="60">
        <v>0</v>
      </c>
      <c r="N8" s="99">
        <v>5</v>
      </c>
      <c r="O8" s="41"/>
      <c r="P8" s="59">
        <v>1</v>
      </c>
      <c r="Q8" s="60">
        <v>0</v>
      </c>
      <c r="R8" s="100">
        <v>4</v>
      </c>
      <c r="S8" s="202"/>
      <c r="T8" s="203"/>
      <c r="U8" s="203"/>
      <c r="V8" s="203"/>
      <c r="W8" s="204"/>
    </row>
    <row r="9" spans="1:23" ht="22.5" customHeight="1" x14ac:dyDescent="0.15">
      <c r="A9" s="195" t="s">
        <v>185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381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186</v>
      </c>
      <c r="B11" s="197" t="s">
        <v>162</v>
      </c>
      <c r="C11" s="199" t="s">
        <v>201</v>
      </c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3">
        <v>1</v>
      </c>
      <c r="E12" s="63">
        <v>0</v>
      </c>
      <c r="F12" s="66">
        <v>3</v>
      </c>
      <c r="G12" s="41"/>
      <c r="H12" s="63">
        <v>1</v>
      </c>
      <c r="I12" s="63">
        <v>0</v>
      </c>
      <c r="J12" s="66">
        <v>2</v>
      </c>
      <c r="K12" s="43"/>
      <c r="L12" s="63">
        <v>1</v>
      </c>
      <c r="M12" s="63">
        <v>0</v>
      </c>
      <c r="N12" s="66">
        <v>1</v>
      </c>
      <c r="O12" s="43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187</v>
      </c>
      <c r="B13" s="197" t="s">
        <v>162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53" t="s">
        <v>176</v>
      </c>
      <c r="S13" s="199"/>
      <c r="T13" s="200"/>
      <c r="U13" s="200"/>
      <c r="V13" s="200"/>
      <c r="W13" s="201"/>
    </row>
    <row r="14" spans="1:23" ht="22.5" customHeight="1" x14ac:dyDescent="0.15">
      <c r="A14" s="196"/>
      <c r="B14" s="225"/>
      <c r="C14" s="91"/>
      <c r="D14" s="73"/>
      <c r="E14" s="73"/>
      <c r="F14" s="73"/>
      <c r="G14" s="72"/>
      <c r="H14" s="73"/>
      <c r="I14" s="73"/>
      <c r="J14" s="73"/>
      <c r="K14" s="72"/>
      <c r="L14" s="73"/>
      <c r="M14" s="73"/>
      <c r="N14" s="73"/>
      <c r="O14" s="72"/>
      <c r="P14" s="73"/>
      <c r="Q14" s="73"/>
      <c r="R14" s="67" t="s">
        <v>177</v>
      </c>
      <c r="S14" s="205"/>
      <c r="T14" s="207"/>
      <c r="U14" s="207"/>
      <c r="V14" s="207"/>
      <c r="W14" s="208"/>
    </row>
    <row r="15" spans="1:23" ht="22.5" customHeight="1" x14ac:dyDescent="0.15">
      <c r="A15" s="195" t="s">
        <v>188</v>
      </c>
      <c r="B15" s="53" t="s">
        <v>472</v>
      </c>
      <c r="C15" s="199" t="s">
        <v>203</v>
      </c>
      <c r="D15" s="238"/>
      <c r="E15" s="39"/>
      <c r="F15" s="39"/>
      <c r="G15" s="39"/>
      <c r="H15" s="39"/>
      <c r="I15" s="242" t="s">
        <v>428</v>
      </c>
      <c r="J15" s="197" t="s">
        <v>427</v>
      </c>
      <c r="K15" s="39"/>
      <c r="L15" s="39"/>
      <c r="M15" s="39"/>
      <c r="N15" s="39"/>
      <c r="O15" s="55" t="s">
        <v>198</v>
      </c>
      <c r="P15" s="199" t="s">
        <v>165</v>
      </c>
      <c r="Q15" s="199" t="s">
        <v>199</v>
      </c>
      <c r="R15" s="53" t="s">
        <v>200</v>
      </c>
      <c r="S15" s="199" t="s">
        <v>163</v>
      </c>
      <c r="T15" s="200"/>
      <c r="U15" s="200"/>
      <c r="V15" s="200"/>
      <c r="W15" s="201"/>
    </row>
    <row r="16" spans="1:23" ht="22.5" customHeight="1" x14ac:dyDescent="0.15">
      <c r="A16" s="196"/>
      <c r="B16" s="54" t="s">
        <v>174</v>
      </c>
      <c r="C16" s="91"/>
      <c r="D16" s="92"/>
      <c r="E16" s="42"/>
      <c r="F16" s="42"/>
      <c r="G16" s="43"/>
      <c r="H16" s="42"/>
      <c r="I16" s="239"/>
      <c r="J16" s="239"/>
      <c r="K16" s="43"/>
      <c r="L16" s="42"/>
      <c r="M16" s="42"/>
      <c r="N16" s="61"/>
      <c r="O16" s="69" t="s">
        <v>175</v>
      </c>
      <c r="P16" s="237"/>
      <c r="Q16" s="237"/>
      <c r="R16" s="54" t="s">
        <v>175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189</v>
      </c>
      <c r="B17" s="197" t="s">
        <v>379</v>
      </c>
      <c r="C17" s="199" t="s">
        <v>380</v>
      </c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38"/>
      <c r="S17" s="199" t="s">
        <v>381</v>
      </c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59">
        <v>1</v>
      </c>
      <c r="E18" s="60">
        <v>0</v>
      </c>
      <c r="F18" s="99">
        <v>7</v>
      </c>
      <c r="G18" s="41"/>
      <c r="H18" s="59">
        <v>1</v>
      </c>
      <c r="I18" s="60">
        <v>0</v>
      </c>
      <c r="J18" s="99">
        <v>6</v>
      </c>
      <c r="K18" s="41"/>
      <c r="L18" s="59">
        <v>1</v>
      </c>
      <c r="M18" s="60">
        <v>0</v>
      </c>
      <c r="N18" s="99">
        <v>5</v>
      </c>
      <c r="O18" s="41"/>
      <c r="P18" s="59">
        <v>1</v>
      </c>
      <c r="Q18" s="60">
        <v>0</v>
      </c>
      <c r="R18" s="100">
        <v>4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190</v>
      </c>
      <c r="B19" s="197" t="s">
        <v>379</v>
      </c>
      <c r="C19" s="199" t="s">
        <v>380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381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191</v>
      </c>
      <c r="B21" s="197" t="s">
        <v>162</v>
      </c>
      <c r="C21" s="199" t="s">
        <v>201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6"/>
      <c r="S21" s="199" t="s">
        <v>166</v>
      </c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3">
        <v>1</v>
      </c>
      <c r="E22" s="63">
        <v>0</v>
      </c>
      <c r="F22" s="66">
        <v>3</v>
      </c>
      <c r="G22" s="41"/>
      <c r="H22" s="63">
        <v>1</v>
      </c>
      <c r="I22" s="63">
        <v>0</v>
      </c>
      <c r="J22" s="66">
        <v>2</v>
      </c>
      <c r="K22" s="43"/>
      <c r="L22" s="63">
        <v>1</v>
      </c>
      <c r="M22" s="63">
        <v>0</v>
      </c>
      <c r="N22" s="66">
        <v>1</v>
      </c>
      <c r="O22" s="43"/>
      <c r="P22" s="63">
        <v>1</v>
      </c>
      <c r="Q22" s="63">
        <v>0</v>
      </c>
      <c r="R22" s="66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62</v>
      </c>
      <c r="B23" s="197" t="s">
        <v>162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176</v>
      </c>
      <c r="S23" s="199"/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2"/>
      <c r="P24" s="42"/>
      <c r="Q24" s="42"/>
      <c r="R24" s="54" t="s">
        <v>177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394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'D0200'!J28+1</f>
        <v>56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7">
    <mergeCell ref="A23:A24"/>
    <mergeCell ref="S23:W24"/>
    <mergeCell ref="A19:A20"/>
    <mergeCell ref="S19:W20"/>
    <mergeCell ref="A21:A22"/>
    <mergeCell ref="S21:W22"/>
    <mergeCell ref="B23:B24"/>
    <mergeCell ref="B19:B20"/>
    <mergeCell ref="C19:R19"/>
    <mergeCell ref="B21:B22"/>
    <mergeCell ref="C21:R21"/>
    <mergeCell ref="A15:A16"/>
    <mergeCell ref="S15:W16"/>
    <mergeCell ref="A17:A18"/>
    <mergeCell ref="S17:W18"/>
    <mergeCell ref="Q15:Q16"/>
    <mergeCell ref="B17:B18"/>
    <mergeCell ref="C17:R17"/>
    <mergeCell ref="C15:D15"/>
    <mergeCell ref="I15:I16"/>
    <mergeCell ref="J15:J16"/>
    <mergeCell ref="P15:P16"/>
    <mergeCell ref="A11:A12"/>
    <mergeCell ref="S11:W12"/>
    <mergeCell ref="A13:A14"/>
    <mergeCell ref="S13:W14"/>
    <mergeCell ref="B11:B12"/>
    <mergeCell ref="B13:B14"/>
    <mergeCell ref="C11:R11"/>
    <mergeCell ref="A7:A8"/>
    <mergeCell ref="S7:W8"/>
    <mergeCell ref="A9:A10"/>
    <mergeCell ref="S9:W10"/>
    <mergeCell ref="B7:B8"/>
    <mergeCell ref="B9:B10"/>
    <mergeCell ref="C7:R7"/>
    <mergeCell ref="C9:R9"/>
    <mergeCell ref="A3:A4"/>
    <mergeCell ref="B3:B4"/>
    <mergeCell ref="S3:W4"/>
    <mergeCell ref="A5:A6"/>
    <mergeCell ref="S5:W6"/>
    <mergeCell ref="P5:P6"/>
    <mergeCell ref="Q5:Q6"/>
    <mergeCell ref="C5:D5"/>
    <mergeCell ref="J5:J6"/>
    <mergeCell ref="I5:I6"/>
  </mergeCells>
  <phoneticPr fontId="18"/>
  <hyperlinks>
    <hyperlink ref="A1" location="レジスタ概要!A1" display="レジスタ概要!A1" xr:uid="{00000000-0004-0000-11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pageSetUpPr fitToPage="1"/>
  </sheetPr>
  <dimension ref="A1:W29"/>
  <sheetViews>
    <sheetView view="pageBreakPreview" zoomScale="85" zoomScaleNormal="100" zoomScaleSheetLayoutView="85" workbookViewId="0">
      <selection activeCell="C21" sqref="C21:R22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623</v>
      </c>
      <c r="B5" s="53" t="s">
        <v>473</v>
      </c>
      <c r="C5" s="199" t="s">
        <v>203</v>
      </c>
      <c r="D5" s="238"/>
      <c r="E5" s="39"/>
      <c r="F5" s="39"/>
      <c r="G5" s="39"/>
      <c r="H5" s="39"/>
      <c r="I5" s="240" t="s">
        <v>428</v>
      </c>
      <c r="J5" s="224" t="s">
        <v>427</v>
      </c>
      <c r="K5" s="39"/>
      <c r="L5" s="39"/>
      <c r="M5" s="39"/>
      <c r="N5" s="39"/>
      <c r="O5" s="68" t="s">
        <v>198</v>
      </c>
      <c r="P5" s="217" t="s">
        <v>165</v>
      </c>
      <c r="Q5" s="217" t="s">
        <v>199</v>
      </c>
      <c r="R5" s="57" t="s">
        <v>200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174</v>
      </c>
      <c r="C6" s="91"/>
      <c r="D6" s="92"/>
      <c r="E6" s="42"/>
      <c r="F6" s="42"/>
      <c r="G6" s="43"/>
      <c r="H6" s="42"/>
      <c r="I6" s="239"/>
      <c r="J6" s="239"/>
      <c r="K6" s="43"/>
      <c r="L6" s="42"/>
      <c r="M6" s="42"/>
      <c r="N6" s="61"/>
      <c r="O6" s="69" t="s">
        <v>175</v>
      </c>
      <c r="P6" s="237"/>
      <c r="Q6" s="237"/>
      <c r="R6" s="54" t="s">
        <v>175</v>
      </c>
      <c r="S6" s="202"/>
      <c r="T6" s="203"/>
      <c r="U6" s="203"/>
      <c r="V6" s="203"/>
      <c r="W6" s="204"/>
    </row>
    <row r="7" spans="1:23" ht="22.5" customHeight="1" x14ac:dyDescent="0.15">
      <c r="A7" s="226" t="s">
        <v>624</v>
      </c>
      <c r="B7" s="197" t="s">
        <v>379</v>
      </c>
      <c r="C7" s="199" t="s">
        <v>380</v>
      </c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38"/>
      <c r="S7" s="199" t="s">
        <v>381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59">
        <v>1</v>
      </c>
      <c r="E8" s="60">
        <v>0</v>
      </c>
      <c r="F8" s="99">
        <v>7</v>
      </c>
      <c r="G8" s="41"/>
      <c r="H8" s="59">
        <v>1</v>
      </c>
      <c r="I8" s="60">
        <v>0</v>
      </c>
      <c r="J8" s="99">
        <v>6</v>
      </c>
      <c r="K8" s="41"/>
      <c r="L8" s="59">
        <v>1</v>
      </c>
      <c r="M8" s="60">
        <v>0</v>
      </c>
      <c r="N8" s="99">
        <v>5</v>
      </c>
      <c r="O8" s="41"/>
      <c r="P8" s="59">
        <v>1</v>
      </c>
      <c r="Q8" s="60">
        <v>0</v>
      </c>
      <c r="R8" s="100">
        <v>4</v>
      </c>
      <c r="S8" s="202"/>
      <c r="T8" s="203"/>
      <c r="U8" s="203"/>
      <c r="V8" s="203"/>
      <c r="W8" s="204"/>
    </row>
    <row r="9" spans="1:23" ht="22.5" customHeight="1" x14ac:dyDescent="0.15">
      <c r="A9" s="226" t="s">
        <v>625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381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192</v>
      </c>
      <c r="B11" s="197" t="s">
        <v>162</v>
      </c>
      <c r="C11" s="199" t="s">
        <v>201</v>
      </c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3">
        <v>1</v>
      </c>
      <c r="E12" s="63">
        <v>0</v>
      </c>
      <c r="F12" s="66">
        <v>3</v>
      </c>
      <c r="G12" s="41"/>
      <c r="H12" s="63">
        <v>1</v>
      </c>
      <c r="I12" s="63">
        <v>0</v>
      </c>
      <c r="J12" s="66">
        <v>2</v>
      </c>
      <c r="K12" s="43"/>
      <c r="L12" s="63">
        <v>1</v>
      </c>
      <c r="M12" s="63">
        <v>0</v>
      </c>
      <c r="N12" s="66">
        <v>1</v>
      </c>
      <c r="O12" s="43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193</v>
      </c>
      <c r="B13" s="197" t="s">
        <v>162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53" t="s">
        <v>176</v>
      </c>
      <c r="S13" s="199"/>
      <c r="T13" s="200"/>
      <c r="U13" s="200"/>
      <c r="V13" s="200"/>
      <c r="W13" s="201"/>
    </row>
    <row r="14" spans="1:23" ht="22.5" customHeight="1" x14ac:dyDescent="0.15">
      <c r="A14" s="209"/>
      <c r="B14" s="225"/>
      <c r="C14" s="91"/>
      <c r="D14" s="73"/>
      <c r="E14" s="73"/>
      <c r="F14" s="73"/>
      <c r="G14" s="72"/>
      <c r="H14" s="73"/>
      <c r="I14" s="73"/>
      <c r="J14" s="73"/>
      <c r="K14" s="72"/>
      <c r="L14" s="73"/>
      <c r="M14" s="73"/>
      <c r="N14" s="73"/>
      <c r="O14" s="72"/>
      <c r="P14" s="73"/>
      <c r="Q14" s="73"/>
      <c r="R14" s="67" t="s">
        <v>177</v>
      </c>
      <c r="S14" s="205"/>
      <c r="T14" s="207"/>
      <c r="U14" s="207"/>
      <c r="V14" s="207"/>
      <c r="W14" s="208"/>
    </row>
    <row r="15" spans="1:23" ht="22.5" customHeight="1" x14ac:dyDescent="0.15">
      <c r="A15" s="226" t="s">
        <v>194</v>
      </c>
      <c r="B15" s="53" t="s">
        <v>474</v>
      </c>
      <c r="C15" s="199" t="s">
        <v>203</v>
      </c>
      <c r="D15" s="238"/>
      <c r="E15" s="39"/>
      <c r="F15" s="39"/>
      <c r="G15" s="39"/>
      <c r="H15" s="39"/>
      <c r="I15" s="242" t="s">
        <v>428</v>
      </c>
      <c r="J15" s="197" t="s">
        <v>427</v>
      </c>
      <c r="K15" s="39"/>
      <c r="L15" s="39"/>
      <c r="M15" s="39"/>
      <c r="N15" s="39"/>
      <c r="O15" s="55" t="s">
        <v>198</v>
      </c>
      <c r="P15" s="199" t="s">
        <v>165</v>
      </c>
      <c r="Q15" s="199" t="s">
        <v>199</v>
      </c>
      <c r="R15" s="53" t="s">
        <v>200</v>
      </c>
      <c r="S15" s="199" t="s">
        <v>163</v>
      </c>
      <c r="T15" s="200"/>
      <c r="U15" s="200"/>
      <c r="V15" s="200"/>
      <c r="W15" s="201"/>
    </row>
    <row r="16" spans="1:23" ht="22.5" customHeight="1" x14ac:dyDescent="0.15">
      <c r="A16" s="209"/>
      <c r="B16" s="54" t="s">
        <v>174</v>
      </c>
      <c r="C16" s="91"/>
      <c r="D16" s="92"/>
      <c r="E16" s="42"/>
      <c r="F16" s="42"/>
      <c r="G16" s="43"/>
      <c r="H16" s="42"/>
      <c r="I16" s="239"/>
      <c r="J16" s="239"/>
      <c r="K16" s="43"/>
      <c r="L16" s="42"/>
      <c r="M16" s="42"/>
      <c r="N16" s="61"/>
      <c r="O16" s="69" t="s">
        <v>175</v>
      </c>
      <c r="P16" s="237"/>
      <c r="Q16" s="237"/>
      <c r="R16" s="54" t="s">
        <v>175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195</v>
      </c>
      <c r="B17" s="197" t="s">
        <v>379</v>
      </c>
      <c r="C17" s="199" t="s">
        <v>380</v>
      </c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38"/>
      <c r="S17" s="199" t="s">
        <v>381</v>
      </c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59">
        <v>1</v>
      </c>
      <c r="E18" s="60">
        <v>0</v>
      </c>
      <c r="F18" s="99">
        <v>7</v>
      </c>
      <c r="G18" s="41"/>
      <c r="H18" s="59">
        <v>1</v>
      </c>
      <c r="I18" s="60">
        <v>0</v>
      </c>
      <c r="J18" s="99">
        <v>6</v>
      </c>
      <c r="K18" s="41"/>
      <c r="L18" s="59">
        <v>1</v>
      </c>
      <c r="M18" s="60">
        <v>0</v>
      </c>
      <c r="N18" s="99">
        <v>5</v>
      </c>
      <c r="O18" s="41"/>
      <c r="P18" s="59">
        <v>1</v>
      </c>
      <c r="Q18" s="60">
        <v>0</v>
      </c>
      <c r="R18" s="100">
        <v>4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196</v>
      </c>
      <c r="B19" s="197" t="s">
        <v>379</v>
      </c>
      <c r="C19" s="199" t="s">
        <v>380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381</v>
      </c>
      <c r="T19" s="207"/>
      <c r="U19" s="207"/>
      <c r="V19" s="207"/>
      <c r="W19" s="208"/>
    </row>
    <row r="20" spans="1:23" ht="22.5" customHeight="1" x14ac:dyDescent="0.15">
      <c r="A20" s="209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197</v>
      </c>
      <c r="B21" s="197" t="s">
        <v>162</v>
      </c>
      <c r="C21" s="199" t="s">
        <v>201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6"/>
      <c r="S21" s="199" t="s">
        <v>166</v>
      </c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3">
        <v>1</v>
      </c>
      <c r="E22" s="63">
        <v>0</v>
      </c>
      <c r="F22" s="66">
        <v>3</v>
      </c>
      <c r="G22" s="41"/>
      <c r="H22" s="63">
        <v>1</v>
      </c>
      <c r="I22" s="63">
        <v>0</v>
      </c>
      <c r="J22" s="66">
        <v>2</v>
      </c>
      <c r="K22" s="43"/>
      <c r="L22" s="63">
        <v>1</v>
      </c>
      <c r="M22" s="63">
        <v>0</v>
      </c>
      <c r="N22" s="66">
        <v>1</v>
      </c>
      <c r="O22" s="43"/>
      <c r="P22" s="63">
        <v>1</v>
      </c>
      <c r="Q22" s="63">
        <v>0</v>
      </c>
      <c r="R22" s="66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64</v>
      </c>
      <c r="B23" s="197" t="s">
        <v>162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176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2"/>
      <c r="P24" s="42"/>
      <c r="Q24" s="42"/>
      <c r="R24" s="54" t="s">
        <v>177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394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'D0210'!J28+1</f>
        <v>57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7">
    <mergeCell ref="B23:B24"/>
    <mergeCell ref="C17:R17"/>
    <mergeCell ref="C15:D15"/>
    <mergeCell ref="A23:A24"/>
    <mergeCell ref="S23:W24"/>
    <mergeCell ref="A19:A20"/>
    <mergeCell ref="S19:W20"/>
    <mergeCell ref="A21:A22"/>
    <mergeCell ref="S21:W22"/>
    <mergeCell ref="B19:B20"/>
    <mergeCell ref="C21:R21"/>
    <mergeCell ref="C19:R19"/>
    <mergeCell ref="B21:B22"/>
    <mergeCell ref="S15:W16"/>
    <mergeCell ref="I15:I16"/>
    <mergeCell ref="J15:J16"/>
    <mergeCell ref="C11:R11"/>
    <mergeCell ref="B9:B10"/>
    <mergeCell ref="A17:A18"/>
    <mergeCell ref="S17:W18"/>
    <mergeCell ref="P15:P16"/>
    <mergeCell ref="Q15:Q16"/>
    <mergeCell ref="B17:B18"/>
    <mergeCell ref="A11:A12"/>
    <mergeCell ref="S11:W12"/>
    <mergeCell ref="S13:W14"/>
    <mergeCell ref="B11:B12"/>
    <mergeCell ref="A13:A14"/>
    <mergeCell ref="A15:A16"/>
    <mergeCell ref="B13:B14"/>
    <mergeCell ref="S9:W10"/>
    <mergeCell ref="C9:R9"/>
    <mergeCell ref="A9:A10"/>
    <mergeCell ref="A7:A8"/>
    <mergeCell ref="S7:W8"/>
    <mergeCell ref="C5:D5"/>
    <mergeCell ref="I5:I6"/>
    <mergeCell ref="J5:J6"/>
    <mergeCell ref="B7:B8"/>
    <mergeCell ref="C7:R7"/>
    <mergeCell ref="S3:W4"/>
    <mergeCell ref="A5:A6"/>
    <mergeCell ref="S5:W6"/>
    <mergeCell ref="P5:P6"/>
    <mergeCell ref="Q5:Q6"/>
    <mergeCell ref="A3:A4"/>
    <mergeCell ref="B3:B4"/>
  </mergeCells>
  <phoneticPr fontId="18"/>
  <hyperlinks>
    <hyperlink ref="A1" location="レジスタ概要!A1" display="レジスタ概要!A1" xr:uid="{00000000-0004-0000-12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pageSetUpPr fitToPage="1"/>
  </sheetPr>
  <dimension ref="A1:W29"/>
  <sheetViews>
    <sheetView view="pageBreakPreview" zoomScale="85" zoomScaleNormal="100" zoomScaleSheetLayoutView="85" workbookViewId="0">
      <selection activeCell="C21" sqref="C21:R22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500</v>
      </c>
      <c r="B5" s="53" t="s">
        <v>475</v>
      </c>
      <c r="C5" s="199" t="s">
        <v>203</v>
      </c>
      <c r="D5" s="238"/>
      <c r="E5" s="39"/>
      <c r="F5" s="39"/>
      <c r="G5" s="39"/>
      <c r="H5" s="39"/>
      <c r="I5" s="240" t="s">
        <v>428</v>
      </c>
      <c r="J5" s="224" t="s">
        <v>427</v>
      </c>
      <c r="K5" s="39"/>
      <c r="L5" s="39"/>
      <c r="M5" s="39"/>
      <c r="N5" s="39"/>
      <c r="O5" s="68" t="s">
        <v>198</v>
      </c>
      <c r="P5" s="217" t="s">
        <v>165</v>
      </c>
      <c r="Q5" s="217" t="s">
        <v>199</v>
      </c>
      <c r="R5" s="57" t="s">
        <v>200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174</v>
      </c>
      <c r="C6" s="91"/>
      <c r="D6" s="92"/>
      <c r="E6" s="42"/>
      <c r="F6" s="42"/>
      <c r="G6" s="43"/>
      <c r="H6" s="42"/>
      <c r="I6" s="239"/>
      <c r="J6" s="239"/>
      <c r="K6" s="43"/>
      <c r="L6" s="42"/>
      <c r="M6" s="42"/>
      <c r="N6" s="61"/>
      <c r="O6" s="69" t="s">
        <v>175</v>
      </c>
      <c r="P6" s="237"/>
      <c r="Q6" s="237"/>
      <c r="R6" s="54" t="s">
        <v>175</v>
      </c>
      <c r="S6" s="202"/>
      <c r="T6" s="203"/>
      <c r="U6" s="203"/>
      <c r="V6" s="203"/>
      <c r="W6" s="204"/>
    </row>
    <row r="7" spans="1:23" ht="22.5" customHeight="1" x14ac:dyDescent="0.15">
      <c r="A7" s="226" t="s">
        <v>501</v>
      </c>
      <c r="B7" s="197" t="s">
        <v>379</v>
      </c>
      <c r="C7" s="199" t="s">
        <v>380</v>
      </c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38"/>
      <c r="S7" s="199" t="s">
        <v>381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59">
        <v>1</v>
      </c>
      <c r="E8" s="60">
        <v>0</v>
      </c>
      <c r="F8" s="99">
        <v>7</v>
      </c>
      <c r="G8" s="41"/>
      <c r="H8" s="59">
        <v>1</v>
      </c>
      <c r="I8" s="60">
        <v>0</v>
      </c>
      <c r="J8" s="99">
        <v>6</v>
      </c>
      <c r="K8" s="41"/>
      <c r="L8" s="59">
        <v>1</v>
      </c>
      <c r="M8" s="60">
        <v>0</v>
      </c>
      <c r="N8" s="99">
        <v>5</v>
      </c>
      <c r="O8" s="41"/>
      <c r="P8" s="59">
        <v>1</v>
      </c>
      <c r="Q8" s="60">
        <v>0</v>
      </c>
      <c r="R8" s="100">
        <v>4</v>
      </c>
      <c r="S8" s="202"/>
      <c r="T8" s="203"/>
      <c r="U8" s="203"/>
      <c r="V8" s="203"/>
      <c r="W8" s="204"/>
    </row>
    <row r="9" spans="1:23" ht="22.5" customHeight="1" x14ac:dyDescent="0.15">
      <c r="A9" s="226" t="s">
        <v>502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381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503</v>
      </c>
      <c r="B11" s="197" t="s">
        <v>162</v>
      </c>
      <c r="C11" s="199" t="s">
        <v>201</v>
      </c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3">
        <v>1</v>
      </c>
      <c r="E12" s="63">
        <v>0</v>
      </c>
      <c r="F12" s="66">
        <v>3</v>
      </c>
      <c r="G12" s="41"/>
      <c r="H12" s="63">
        <v>1</v>
      </c>
      <c r="I12" s="63">
        <v>0</v>
      </c>
      <c r="J12" s="66">
        <v>2</v>
      </c>
      <c r="K12" s="43"/>
      <c r="L12" s="63">
        <v>1</v>
      </c>
      <c r="M12" s="63">
        <v>0</v>
      </c>
      <c r="N12" s="66">
        <v>1</v>
      </c>
      <c r="O12" s="43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504</v>
      </c>
      <c r="B13" s="197" t="s">
        <v>162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53" t="s">
        <v>176</v>
      </c>
      <c r="S13" s="199"/>
      <c r="T13" s="200"/>
      <c r="U13" s="200"/>
      <c r="V13" s="200"/>
      <c r="W13" s="201"/>
    </row>
    <row r="14" spans="1:23" ht="22.5" customHeight="1" x14ac:dyDescent="0.15">
      <c r="A14" s="209"/>
      <c r="B14" s="225"/>
      <c r="C14" s="91"/>
      <c r="D14" s="73"/>
      <c r="E14" s="73"/>
      <c r="F14" s="73"/>
      <c r="G14" s="72"/>
      <c r="H14" s="73"/>
      <c r="I14" s="73"/>
      <c r="J14" s="73"/>
      <c r="K14" s="72"/>
      <c r="L14" s="73"/>
      <c r="M14" s="73"/>
      <c r="N14" s="73"/>
      <c r="O14" s="72"/>
      <c r="P14" s="73"/>
      <c r="Q14" s="73"/>
      <c r="R14" s="67" t="s">
        <v>177</v>
      </c>
      <c r="S14" s="205"/>
      <c r="T14" s="207"/>
      <c r="U14" s="207"/>
      <c r="V14" s="207"/>
      <c r="W14" s="208"/>
    </row>
    <row r="15" spans="1:23" ht="22.5" customHeight="1" x14ac:dyDescent="0.15">
      <c r="A15" s="226" t="s">
        <v>505</v>
      </c>
      <c r="B15" s="53" t="s">
        <v>476</v>
      </c>
      <c r="C15" s="199" t="s">
        <v>203</v>
      </c>
      <c r="D15" s="238"/>
      <c r="E15" s="39"/>
      <c r="F15" s="39"/>
      <c r="G15" s="39"/>
      <c r="H15" s="39"/>
      <c r="I15" s="242" t="s">
        <v>428</v>
      </c>
      <c r="J15" s="197" t="s">
        <v>427</v>
      </c>
      <c r="K15" s="39"/>
      <c r="L15" s="39"/>
      <c r="M15" s="39"/>
      <c r="N15" s="39"/>
      <c r="O15" s="55" t="s">
        <v>198</v>
      </c>
      <c r="P15" s="199" t="s">
        <v>165</v>
      </c>
      <c r="Q15" s="199" t="s">
        <v>199</v>
      </c>
      <c r="R15" s="53" t="s">
        <v>200</v>
      </c>
      <c r="S15" s="199" t="s">
        <v>163</v>
      </c>
      <c r="T15" s="200"/>
      <c r="U15" s="200"/>
      <c r="V15" s="200"/>
      <c r="W15" s="201"/>
    </row>
    <row r="16" spans="1:23" ht="22.5" customHeight="1" x14ac:dyDescent="0.15">
      <c r="A16" s="209"/>
      <c r="B16" s="54" t="s">
        <v>174</v>
      </c>
      <c r="C16" s="91"/>
      <c r="D16" s="92"/>
      <c r="E16" s="42"/>
      <c r="F16" s="42"/>
      <c r="G16" s="43"/>
      <c r="H16" s="42"/>
      <c r="I16" s="239"/>
      <c r="J16" s="239"/>
      <c r="K16" s="43"/>
      <c r="L16" s="42"/>
      <c r="M16" s="42"/>
      <c r="N16" s="61"/>
      <c r="O16" s="69" t="s">
        <v>175</v>
      </c>
      <c r="P16" s="237"/>
      <c r="Q16" s="237"/>
      <c r="R16" s="54" t="s">
        <v>175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506</v>
      </c>
      <c r="B17" s="197" t="s">
        <v>379</v>
      </c>
      <c r="C17" s="199" t="s">
        <v>380</v>
      </c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38"/>
      <c r="S17" s="199" t="s">
        <v>381</v>
      </c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59">
        <v>1</v>
      </c>
      <c r="E18" s="60">
        <v>0</v>
      </c>
      <c r="F18" s="99">
        <v>7</v>
      </c>
      <c r="G18" s="41"/>
      <c r="H18" s="59">
        <v>1</v>
      </c>
      <c r="I18" s="60">
        <v>0</v>
      </c>
      <c r="J18" s="99">
        <v>6</v>
      </c>
      <c r="K18" s="41"/>
      <c r="L18" s="59">
        <v>1</v>
      </c>
      <c r="M18" s="60">
        <v>0</v>
      </c>
      <c r="N18" s="99">
        <v>5</v>
      </c>
      <c r="O18" s="41"/>
      <c r="P18" s="59">
        <v>1</v>
      </c>
      <c r="Q18" s="60">
        <v>0</v>
      </c>
      <c r="R18" s="100">
        <v>4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507</v>
      </c>
      <c r="B19" s="197" t="s">
        <v>379</v>
      </c>
      <c r="C19" s="199" t="s">
        <v>380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381</v>
      </c>
      <c r="T19" s="207"/>
      <c r="U19" s="207"/>
      <c r="V19" s="207"/>
      <c r="W19" s="208"/>
    </row>
    <row r="20" spans="1:23" ht="22.5" customHeight="1" x14ac:dyDescent="0.15">
      <c r="A20" s="209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508</v>
      </c>
      <c r="B21" s="197" t="s">
        <v>162</v>
      </c>
      <c r="C21" s="199" t="s">
        <v>201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6"/>
      <c r="S21" s="199" t="s">
        <v>166</v>
      </c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3">
        <v>1</v>
      </c>
      <c r="E22" s="63">
        <v>0</v>
      </c>
      <c r="F22" s="66">
        <v>3</v>
      </c>
      <c r="G22" s="41"/>
      <c r="H22" s="63">
        <v>1</v>
      </c>
      <c r="I22" s="63">
        <v>0</v>
      </c>
      <c r="J22" s="66">
        <v>2</v>
      </c>
      <c r="K22" s="43"/>
      <c r="L22" s="63">
        <v>1</v>
      </c>
      <c r="M22" s="63">
        <v>0</v>
      </c>
      <c r="N22" s="66">
        <v>1</v>
      </c>
      <c r="O22" s="43"/>
      <c r="P22" s="63">
        <v>1</v>
      </c>
      <c r="Q22" s="63">
        <v>0</v>
      </c>
      <c r="R22" s="66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66</v>
      </c>
      <c r="B23" s="197" t="s">
        <v>162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176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2"/>
      <c r="P24" s="42"/>
      <c r="Q24" s="42"/>
      <c r="R24" s="54" t="s">
        <v>177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394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'D0220'!J28+1</f>
        <v>58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7">
    <mergeCell ref="A23:A24"/>
    <mergeCell ref="S23:W24"/>
    <mergeCell ref="A19:A20"/>
    <mergeCell ref="S19:W20"/>
    <mergeCell ref="A21:A22"/>
    <mergeCell ref="S21:W22"/>
    <mergeCell ref="B19:B20"/>
    <mergeCell ref="B21:B22"/>
    <mergeCell ref="C19:R19"/>
    <mergeCell ref="B23:B24"/>
    <mergeCell ref="C21:R21"/>
    <mergeCell ref="S15:W16"/>
    <mergeCell ref="A17:A18"/>
    <mergeCell ref="S17:W18"/>
    <mergeCell ref="P15:P16"/>
    <mergeCell ref="Q15:Q16"/>
    <mergeCell ref="B17:B18"/>
    <mergeCell ref="C17:R17"/>
    <mergeCell ref="C15:D15"/>
    <mergeCell ref="I15:I16"/>
    <mergeCell ref="J15:J16"/>
    <mergeCell ref="A15:A16"/>
    <mergeCell ref="S11:W12"/>
    <mergeCell ref="A13:A14"/>
    <mergeCell ref="S13:W14"/>
    <mergeCell ref="B13:B14"/>
    <mergeCell ref="B11:B12"/>
    <mergeCell ref="A11:A12"/>
    <mergeCell ref="C11:R11"/>
    <mergeCell ref="S7:W8"/>
    <mergeCell ref="A9:A10"/>
    <mergeCell ref="S9:W10"/>
    <mergeCell ref="B7:B8"/>
    <mergeCell ref="B9:B10"/>
    <mergeCell ref="C7:R7"/>
    <mergeCell ref="C9:R9"/>
    <mergeCell ref="A7:A8"/>
    <mergeCell ref="S3:W4"/>
    <mergeCell ref="A5:A6"/>
    <mergeCell ref="S5:W6"/>
    <mergeCell ref="P5:P6"/>
    <mergeCell ref="Q5:Q6"/>
    <mergeCell ref="C5:D5"/>
    <mergeCell ref="I5:I6"/>
    <mergeCell ref="J5:J6"/>
    <mergeCell ref="A3:A4"/>
    <mergeCell ref="B3:B4"/>
  </mergeCells>
  <phoneticPr fontId="18"/>
  <hyperlinks>
    <hyperlink ref="A1" location="レジスタ概要!A1" display="レジスタ概要!A1" xr:uid="{00000000-0004-0000-13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pageSetUpPr fitToPage="1"/>
  </sheetPr>
  <dimension ref="A1:W29"/>
  <sheetViews>
    <sheetView view="pageBreakPreview" topLeftCell="A4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626</v>
      </c>
      <c r="B5" s="53" t="s">
        <v>559</v>
      </c>
      <c r="C5" s="199" t="s">
        <v>203</v>
      </c>
      <c r="D5" s="238"/>
      <c r="E5" s="39"/>
      <c r="F5" s="39"/>
      <c r="G5" s="39"/>
      <c r="H5" s="39"/>
      <c r="I5" s="240" t="s">
        <v>428</v>
      </c>
      <c r="J5" s="224" t="s">
        <v>427</v>
      </c>
      <c r="K5" s="39"/>
      <c r="L5" s="39"/>
      <c r="M5" s="39"/>
      <c r="N5" s="39"/>
      <c r="O5" s="68" t="s">
        <v>198</v>
      </c>
      <c r="P5" s="217" t="s">
        <v>165</v>
      </c>
      <c r="Q5" s="217" t="s">
        <v>199</v>
      </c>
      <c r="R5" s="57" t="s">
        <v>200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174</v>
      </c>
      <c r="C6" s="91"/>
      <c r="D6" s="92"/>
      <c r="E6" s="42"/>
      <c r="F6" s="42"/>
      <c r="G6" s="43"/>
      <c r="H6" s="42"/>
      <c r="I6" s="239"/>
      <c r="J6" s="239"/>
      <c r="K6" s="43"/>
      <c r="L6" s="42"/>
      <c r="M6" s="42"/>
      <c r="N6" s="61"/>
      <c r="O6" s="69" t="s">
        <v>175</v>
      </c>
      <c r="P6" s="237"/>
      <c r="Q6" s="237"/>
      <c r="R6" s="54" t="s">
        <v>175</v>
      </c>
      <c r="S6" s="202"/>
      <c r="T6" s="203"/>
      <c r="U6" s="203"/>
      <c r="V6" s="203"/>
      <c r="W6" s="204"/>
    </row>
    <row r="7" spans="1:23" ht="22.5" customHeight="1" x14ac:dyDescent="0.15">
      <c r="A7" s="226" t="s">
        <v>627</v>
      </c>
      <c r="B7" s="197" t="s">
        <v>379</v>
      </c>
      <c r="C7" s="199" t="s">
        <v>380</v>
      </c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38"/>
      <c r="S7" s="199" t="s">
        <v>166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59">
        <v>1</v>
      </c>
      <c r="E8" s="60">
        <v>0</v>
      </c>
      <c r="F8" s="99">
        <v>7</v>
      </c>
      <c r="G8" s="41"/>
      <c r="H8" s="59">
        <v>1</v>
      </c>
      <c r="I8" s="60">
        <v>0</v>
      </c>
      <c r="J8" s="99">
        <v>6</v>
      </c>
      <c r="K8" s="41"/>
      <c r="L8" s="59">
        <v>1</v>
      </c>
      <c r="M8" s="60">
        <v>0</v>
      </c>
      <c r="N8" s="99">
        <v>5</v>
      </c>
      <c r="O8" s="41"/>
      <c r="P8" s="59">
        <v>1</v>
      </c>
      <c r="Q8" s="60">
        <v>0</v>
      </c>
      <c r="R8" s="100">
        <v>4</v>
      </c>
      <c r="S8" s="202"/>
      <c r="T8" s="203"/>
      <c r="U8" s="203"/>
      <c r="V8" s="203"/>
      <c r="W8" s="204"/>
    </row>
    <row r="9" spans="1:23" ht="22.5" customHeight="1" x14ac:dyDescent="0.15">
      <c r="A9" s="226" t="s">
        <v>628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166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629</v>
      </c>
      <c r="B11" s="197" t="s">
        <v>162</v>
      </c>
      <c r="C11" s="199" t="s">
        <v>201</v>
      </c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3">
        <v>1</v>
      </c>
      <c r="E12" s="63">
        <v>0</v>
      </c>
      <c r="F12" s="66">
        <v>3</v>
      </c>
      <c r="G12" s="41"/>
      <c r="H12" s="63">
        <v>1</v>
      </c>
      <c r="I12" s="63">
        <v>0</v>
      </c>
      <c r="J12" s="66">
        <v>2</v>
      </c>
      <c r="K12" s="43"/>
      <c r="L12" s="63">
        <v>1</v>
      </c>
      <c r="M12" s="63">
        <v>0</v>
      </c>
      <c r="N12" s="66">
        <v>1</v>
      </c>
      <c r="O12" s="43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630</v>
      </c>
      <c r="B13" s="197" t="s">
        <v>162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53" t="s">
        <v>176</v>
      </c>
      <c r="S13" s="199" t="s">
        <v>772</v>
      </c>
      <c r="T13" s="200"/>
      <c r="U13" s="200"/>
      <c r="V13" s="200"/>
      <c r="W13" s="201"/>
    </row>
    <row r="14" spans="1:23" ht="22.5" customHeight="1" thickBot="1" x14ac:dyDescent="0.2">
      <c r="A14" s="209"/>
      <c r="B14" s="225"/>
      <c r="C14" s="91"/>
      <c r="D14" s="73"/>
      <c r="E14" s="73"/>
      <c r="F14" s="73"/>
      <c r="G14" s="72"/>
      <c r="H14" s="73"/>
      <c r="I14" s="73"/>
      <c r="J14" s="73"/>
      <c r="K14" s="72"/>
      <c r="L14" s="73"/>
      <c r="M14" s="73"/>
      <c r="N14" s="73"/>
      <c r="O14" s="72"/>
      <c r="P14" s="73"/>
      <c r="Q14" s="73"/>
      <c r="R14" s="67" t="s">
        <v>177</v>
      </c>
      <c r="S14" s="205"/>
      <c r="T14" s="207"/>
      <c r="U14" s="207"/>
      <c r="V14" s="207"/>
      <c r="W14" s="208"/>
    </row>
    <row r="15" spans="1:23" ht="22.5" customHeight="1" thickTop="1" x14ac:dyDescent="0.15">
      <c r="A15" s="226" t="s">
        <v>631</v>
      </c>
      <c r="B15" s="136" t="s">
        <v>710</v>
      </c>
      <c r="C15" s="199" t="s">
        <v>203</v>
      </c>
      <c r="D15" s="238"/>
      <c r="E15" s="39"/>
      <c r="F15" s="39"/>
      <c r="G15" s="39"/>
      <c r="H15" s="39"/>
      <c r="I15" s="240" t="s">
        <v>428</v>
      </c>
      <c r="J15" s="224" t="s">
        <v>427</v>
      </c>
      <c r="K15" s="39"/>
      <c r="L15" s="39"/>
      <c r="M15" s="39"/>
      <c r="N15" s="39"/>
      <c r="O15" s="141" t="s">
        <v>198</v>
      </c>
      <c r="P15" s="217" t="s">
        <v>165</v>
      </c>
      <c r="Q15" s="217" t="s">
        <v>199</v>
      </c>
      <c r="R15" s="140" t="s">
        <v>200</v>
      </c>
      <c r="S15" s="199" t="s">
        <v>163</v>
      </c>
      <c r="T15" s="200"/>
      <c r="U15" s="200"/>
      <c r="V15" s="200"/>
      <c r="W15" s="201"/>
    </row>
    <row r="16" spans="1:23" ht="22.5" customHeight="1" x14ac:dyDescent="0.15">
      <c r="A16" s="209"/>
      <c r="B16" s="137" t="s">
        <v>174</v>
      </c>
      <c r="C16" s="91"/>
      <c r="D16" s="92"/>
      <c r="E16" s="42"/>
      <c r="F16" s="42"/>
      <c r="G16" s="43"/>
      <c r="H16" s="42"/>
      <c r="I16" s="239"/>
      <c r="J16" s="239"/>
      <c r="K16" s="43"/>
      <c r="L16" s="42"/>
      <c r="M16" s="42"/>
      <c r="N16" s="61"/>
      <c r="O16" s="139" t="s">
        <v>175</v>
      </c>
      <c r="P16" s="237"/>
      <c r="Q16" s="237"/>
      <c r="R16" s="137" t="s">
        <v>175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632</v>
      </c>
      <c r="B17" s="197" t="s">
        <v>379</v>
      </c>
      <c r="C17" s="199" t="s">
        <v>380</v>
      </c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38"/>
      <c r="S17" s="199" t="s">
        <v>166</v>
      </c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59">
        <v>1</v>
      </c>
      <c r="E18" s="60">
        <v>0</v>
      </c>
      <c r="F18" s="99">
        <v>7</v>
      </c>
      <c r="G18" s="41"/>
      <c r="H18" s="59">
        <v>1</v>
      </c>
      <c r="I18" s="60">
        <v>0</v>
      </c>
      <c r="J18" s="99">
        <v>6</v>
      </c>
      <c r="K18" s="41"/>
      <c r="L18" s="59">
        <v>1</v>
      </c>
      <c r="M18" s="60">
        <v>0</v>
      </c>
      <c r="N18" s="99">
        <v>5</v>
      </c>
      <c r="O18" s="41"/>
      <c r="P18" s="59">
        <v>1</v>
      </c>
      <c r="Q18" s="60">
        <v>0</v>
      </c>
      <c r="R18" s="100">
        <v>4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633</v>
      </c>
      <c r="B19" s="197" t="s">
        <v>379</v>
      </c>
      <c r="C19" s="199" t="s">
        <v>380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166</v>
      </c>
      <c r="T19" s="207"/>
      <c r="U19" s="207"/>
      <c r="V19" s="207"/>
      <c r="W19" s="208"/>
    </row>
    <row r="20" spans="1:23" ht="22.5" customHeight="1" x14ac:dyDescent="0.15">
      <c r="A20" s="209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634</v>
      </c>
      <c r="B21" s="197" t="s">
        <v>162</v>
      </c>
      <c r="C21" s="199" t="s">
        <v>201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6"/>
      <c r="S21" s="199" t="s">
        <v>166</v>
      </c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3">
        <v>1</v>
      </c>
      <c r="E22" s="63">
        <v>0</v>
      </c>
      <c r="F22" s="66">
        <v>3</v>
      </c>
      <c r="G22" s="41"/>
      <c r="H22" s="63">
        <v>1</v>
      </c>
      <c r="I22" s="63">
        <v>0</v>
      </c>
      <c r="J22" s="66">
        <v>2</v>
      </c>
      <c r="K22" s="43"/>
      <c r="L22" s="63">
        <v>1</v>
      </c>
      <c r="M22" s="63">
        <v>0</v>
      </c>
      <c r="N22" s="66">
        <v>1</v>
      </c>
      <c r="O22" s="43"/>
      <c r="P22" s="63">
        <v>1</v>
      </c>
      <c r="Q22" s="63">
        <v>0</v>
      </c>
      <c r="R22" s="66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68</v>
      </c>
      <c r="B23" s="197" t="s">
        <v>162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136" t="s">
        <v>176</v>
      </c>
      <c r="S23" s="199" t="s">
        <v>772</v>
      </c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137" t="s">
        <v>177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394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'D0230'!J28+1</f>
        <v>59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7">
    <mergeCell ref="C21:R21"/>
    <mergeCell ref="C7:R7"/>
    <mergeCell ref="S7:W8"/>
    <mergeCell ref="C9:R9"/>
    <mergeCell ref="S9:W10"/>
    <mergeCell ref="C19:R19"/>
    <mergeCell ref="A7:A8"/>
    <mergeCell ref="B7:B8"/>
    <mergeCell ref="A23:A24"/>
    <mergeCell ref="B23:B24"/>
    <mergeCell ref="S23:W24"/>
    <mergeCell ref="A19:A20"/>
    <mergeCell ref="B19:B20"/>
    <mergeCell ref="A21:A22"/>
    <mergeCell ref="B21:B22"/>
    <mergeCell ref="S21:W22"/>
    <mergeCell ref="S19:W20"/>
    <mergeCell ref="A9:A10"/>
    <mergeCell ref="B9:B10"/>
    <mergeCell ref="A13:A14"/>
    <mergeCell ref="B13:B14"/>
    <mergeCell ref="S13:W14"/>
    <mergeCell ref="A3:A4"/>
    <mergeCell ref="B3:B4"/>
    <mergeCell ref="S3:W4"/>
    <mergeCell ref="A5:A6"/>
    <mergeCell ref="C5:D5"/>
    <mergeCell ref="P5:P6"/>
    <mergeCell ref="Q5:Q6"/>
    <mergeCell ref="I5:I6"/>
    <mergeCell ref="J5:J6"/>
    <mergeCell ref="S5:W6"/>
    <mergeCell ref="B17:B18"/>
    <mergeCell ref="B11:B12"/>
    <mergeCell ref="A11:A12"/>
    <mergeCell ref="S11:W12"/>
    <mergeCell ref="S15:W16"/>
    <mergeCell ref="A17:A18"/>
    <mergeCell ref="S17:W18"/>
    <mergeCell ref="A15:A16"/>
    <mergeCell ref="C17:R17"/>
    <mergeCell ref="C15:D15"/>
    <mergeCell ref="I15:I16"/>
    <mergeCell ref="J15:J16"/>
    <mergeCell ref="P15:P16"/>
    <mergeCell ref="Q15:Q16"/>
    <mergeCell ref="C11:R11"/>
  </mergeCells>
  <phoneticPr fontId="18"/>
  <hyperlinks>
    <hyperlink ref="A1" location="レジスタ概要!A1" display="レジスタ概要!A1" xr:uid="{00000000-0004-0000-14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pageSetUpPr fitToPage="1"/>
  </sheetPr>
  <dimension ref="A1:W29"/>
  <sheetViews>
    <sheetView view="pageBreakPreview" topLeftCell="A7" zoomScale="85" zoomScaleNormal="100" zoomScaleSheetLayoutView="85" workbookViewId="0">
      <selection activeCell="J29" sqref="J29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640</v>
      </c>
      <c r="B5" s="53" t="s">
        <v>382</v>
      </c>
      <c r="C5" s="199" t="s">
        <v>203</v>
      </c>
      <c r="D5" s="238"/>
      <c r="E5" s="39"/>
      <c r="F5" s="39"/>
      <c r="G5" s="39"/>
      <c r="H5" s="39"/>
      <c r="I5" s="39"/>
      <c r="J5" s="39"/>
      <c r="K5" s="39"/>
      <c r="L5" s="39"/>
      <c r="M5" s="39"/>
      <c r="N5" s="39"/>
      <c r="O5" s="68" t="s">
        <v>198</v>
      </c>
      <c r="P5" s="217" t="s">
        <v>165</v>
      </c>
      <c r="Q5" s="217" t="s">
        <v>199</v>
      </c>
      <c r="R5" s="57" t="s">
        <v>200</v>
      </c>
      <c r="S5" s="199" t="s">
        <v>163</v>
      </c>
      <c r="T5" s="200"/>
      <c r="U5" s="200"/>
      <c r="V5" s="200"/>
      <c r="W5" s="201"/>
    </row>
    <row r="6" spans="1:23" ht="22.5" customHeight="1" x14ac:dyDescent="0.15">
      <c r="A6" s="209"/>
      <c r="B6" s="54" t="s">
        <v>174</v>
      </c>
      <c r="C6" s="91"/>
      <c r="D6" s="92"/>
      <c r="E6" s="42"/>
      <c r="F6" s="42"/>
      <c r="G6" s="43"/>
      <c r="H6" s="42"/>
      <c r="I6" s="42"/>
      <c r="J6" s="42"/>
      <c r="K6" s="43"/>
      <c r="L6" s="42"/>
      <c r="M6" s="42"/>
      <c r="N6" s="61"/>
      <c r="O6" s="69" t="s">
        <v>175</v>
      </c>
      <c r="P6" s="237"/>
      <c r="Q6" s="237"/>
      <c r="R6" s="54" t="s">
        <v>175</v>
      </c>
      <c r="S6" s="202"/>
      <c r="T6" s="203"/>
      <c r="U6" s="203"/>
      <c r="V6" s="203"/>
      <c r="W6" s="204"/>
    </row>
    <row r="7" spans="1:23" ht="22.5" customHeight="1" x14ac:dyDescent="0.15">
      <c r="A7" s="226" t="s">
        <v>641</v>
      </c>
      <c r="B7" s="197" t="s">
        <v>386</v>
      </c>
      <c r="C7" s="55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3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60"/>
      <c r="E8" s="98"/>
      <c r="F8" s="99"/>
      <c r="G8" s="43"/>
      <c r="H8" s="59"/>
      <c r="I8" s="60"/>
      <c r="J8" s="101"/>
      <c r="K8" s="42"/>
      <c r="L8" s="59"/>
      <c r="M8" s="60"/>
      <c r="N8" s="101"/>
      <c r="O8" s="42"/>
      <c r="P8" s="59"/>
      <c r="Q8" s="60"/>
      <c r="R8" s="101"/>
      <c r="S8" s="202"/>
      <c r="T8" s="203"/>
      <c r="U8" s="203"/>
      <c r="V8" s="203"/>
      <c r="W8" s="204"/>
    </row>
    <row r="9" spans="1:23" ht="22.5" customHeight="1" x14ac:dyDescent="0.15">
      <c r="A9" s="226" t="s">
        <v>642</v>
      </c>
      <c r="B9" s="197" t="s">
        <v>386</v>
      </c>
      <c r="C9" s="55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3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/>
      <c r="E10" s="98"/>
      <c r="F10" s="99"/>
      <c r="G10" s="43"/>
      <c r="H10" s="59"/>
      <c r="I10" s="60"/>
      <c r="J10" s="101"/>
      <c r="K10" s="42"/>
      <c r="L10" s="59"/>
      <c r="M10" s="60"/>
      <c r="N10" s="101"/>
      <c r="O10" s="42"/>
      <c r="P10" s="59"/>
      <c r="Q10" s="60"/>
      <c r="R10" s="101"/>
      <c r="S10" s="202"/>
      <c r="T10" s="203"/>
      <c r="U10" s="203"/>
      <c r="V10" s="203"/>
      <c r="W10" s="204"/>
    </row>
    <row r="11" spans="1:23" ht="22.5" customHeight="1" x14ac:dyDescent="0.15">
      <c r="A11" s="226" t="s">
        <v>643</v>
      </c>
      <c r="B11" s="197" t="s">
        <v>162</v>
      </c>
      <c r="C11" s="199" t="s">
        <v>201</v>
      </c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6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3">
        <v>1</v>
      </c>
      <c r="E12" s="63">
        <v>0</v>
      </c>
      <c r="F12" s="66">
        <v>3</v>
      </c>
      <c r="G12" s="41"/>
      <c r="H12" s="63">
        <v>1</v>
      </c>
      <c r="I12" s="63">
        <v>0</v>
      </c>
      <c r="J12" s="66">
        <v>2</v>
      </c>
      <c r="K12" s="43"/>
      <c r="L12" s="63">
        <v>1</v>
      </c>
      <c r="M12" s="63">
        <v>0</v>
      </c>
      <c r="N12" s="66">
        <v>1</v>
      </c>
      <c r="O12" s="43"/>
      <c r="P12" s="63">
        <v>1</v>
      </c>
      <c r="Q12" s="63">
        <v>0</v>
      </c>
      <c r="R12" s="66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644</v>
      </c>
      <c r="B13" s="197" t="s">
        <v>162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53" t="s">
        <v>176</v>
      </c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91"/>
      <c r="D14" s="73"/>
      <c r="E14" s="73"/>
      <c r="F14" s="73"/>
      <c r="G14" s="72"/>
      <c r="H14" s="73"/>
      <c r="I14" s="73"/>
      <c r="J14" s="73"/>
      <c r="K14" s="72"/>
      <c r="L14" s="73"/>
      <c r="M14" s="73"/>
      <c r="N14" s="73"/>
      <c r="O14" s="72"/>
      <c r="P14" s="73"/>
      <c r="Q14" s="73"/>
      <c r="R14" s="67" t="s">
        <v>177</v>
      </c>
      <c r="S14" s="205"/>
      <c r="T14" s="207"/>
      <c r="U14" s="207"/>
      <c r="V14" s="207"/>
      <c r="W14" s="208"/>
    </row>
    <row r="15" spans="1:23" ht="22.5" customHeight="1" x14ac:dyDescent="0.15">
      <c r="A15" s="226" t="s">
        <v>645</v>
      </c>
      <c r="B15" s="53" t="s">
        <v>383</v>
      </c>
      <c r="C15" s="199" t="s">
        <v>203</v>
      </c>
      <c r="D15" s="238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55" t="s">
        <v>198</v>
      </c>
      <c r="P15" s="199" t="s">
        <v>165</v>
      </c>
      <c r="Q15" s="199" t="s">
        <v>199</v>
      </c>
      <c r="R15" s="53" t="s">
        <v>200</v>
      </c>
      <c r="S15" s="199" t="s">
        <v>163</v>
      </c>
      <c r="T15" s="200"/>
      <c r="U15" s="200"/>
      <c r="V15" s="200"/>
      <c r="W15" s="201"/>
    </row>
    <row r="16" spans="1:23" ht="22.5" customHeight="1" x14ac:dyDescent="0.15">
      <c r="A16" s="209"/>
      <c r="B16" s="54" t="s">
        <v>174</v>
      </c>
      <c r="C16" s="91"/>
      <c r="D16" s="92"/>
      <c r="E16" s="42"/>
      <c r="F16" s="42"/>
      <c r="G16" s="43"/>
      <c r="H16" s="42"/>
      <c r="I16" s="42"/>
      <c r="J16" s="42"/>
      <c r="K16" s="43"/>
      <c r="L16" s="42"/>
      <c r="M16" s="42"/>
      <c r="N16" s="61"/>
      <c r="O16" s="69" t="s">
        <v>175</v>
      </c>
      <c r="P16" s="237"/>
      <c r="Q16" s="237"/>
      <c r="R16" s="54" t="s">
        <v>175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646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226" t="s">
        <v>647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226" t="s">
        <v>648</v>
      </c>
      <c r="B21" s="197" t="s">
        <v>162</v>
      </c>
      <c r="C21" s="199" t="s">
        <v>201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6"/>
      <c r="S21" s="199" t="s">
        <v>166</v>
      </c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3">
        <v>1</v>
      </c>
      <c r="E22" s="63">
        <v>0</v>
      </c>
      <c r="F22" s="66">
        <v>3</v>
      </c>
      <c r="G22" s="41"/>
      <c r="H22" s="63">
        <v>1</v>
      </c>
      <c r="I22" s="63">
        <v>0</v>
      </c>
      <c r="J22" s="66">
        <v>2</v>
      </c>
      <c r="K22" s="43"/>
      <c r="L22" s="63">
        <v>1</v>
      </c>
      <c r="M22" s="63">
        <v>0</v>
      </c>
      <c r="N22" s="66">
        <v>1</v>
      </c>
      <c r="O22" s="43"/>
      <c r="P22" s="63">
        <v>1</v>
      </c>
      <c r="Q22" s="63">
        <v>0</v>
      </c>
      <c r="R22" s="66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78</v>
      </c>
      <c r="B23" s="197" t="s">
        <v>162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176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2"/>
      <c r="P24" s="42"/>
      <c r="Q24" s="42"/>
      <c r="R24" s="54" t="s">
        <v>177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'D0240'!J28+1</f>
        <v>60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9">
    <mergeCell ref="C21:R21"/>
    <mergeCell ref="S23:W24"/>
    <mergeCell ref="S15:W16"/>
    <mergeCell ref="A19:A20"/>
    <mergeCell ref="S19:W20"/>
    <mergeCell ref="A21:A22"/>
    <mergeCell ref="S21:W22"/>
    <mergeCell ref="A15:A16"/>
    <mergeCell ref="B17:B18"/>
    <mergeCell ref="B23:B24"/>
    <mergeCell ref="P15:P16"/>
    <mergeCell ref="A23:A24"/>
    <mergeCell ref="B19:B20"/>
    <mergeCell ref="B21:B22"/>
    <mergeCell ref="S17:W18"/>
    <mergeCell ref="Q15:Q16"/>
    <mergeCell ref="A11:A12"/>
    <mergeCell ref="S11:W12"/>
    <mergeCell ref="A13:A14"/>
    <mergeCell ref="A7:A8"/>
    <mergeCell ref="A17:A18"/>
    <mergeCell ref="S7:W8"/>
    <mergeCell ref="A9:A10"/>
    <mergeCell ref="S9:W10"/>
    <mergeCell ref="B7:B8"/>
    <mergeCell ref="B9:B10"/>
    <mergeCell ref="B13:B14"/>
    <mergeCell ref="B11:B12"/>
    <mergeCell ref="C15:D15"/>
    <mergeCell ref="S13:W14"/>
    <mergeCell ref="C11:R11"/>
    <mergeCell ref="S3:W4"/>
    <mergeCell ref="A5:A6"/>
    <mergeCell ref="S5:W6"/>
    <mergeCell ref="P5:P6"/>
    <mergeCell ref="Q5:Q6"/>
    <mergeCell ref="C5:D5"/>
    <mergeCell ref="A3:A4"/>
    <mergeCell ref="B3:B4"/>
  </mergeCells>
  <phoneticPr fontId="18"/>
  <hyperlinks>
    <hyperlink ref="A1" location="レジスタ概要!A1" display="レジスタ概要!A1" xr:uid="{00000000-0004-0000-17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>
    <pageSetUpPr fitToPage="1"/>
  </sheetPr>
  <dimension ref="A1:W29"/>
  <sheetViews>
    <sheetView view="pageBreakPreview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IF(MID(A5,3,3)&lt;="390","伝送エリアマップ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649</v>
      </c>
      <c r="B5" s="57" t="s">
        <v>764</v>
      </c>
      <c r="C5" s="55"/>
      <c r="D5" s="56"/>
      <c r="E5" s="56"/>
      <c r="F5" s="39"/>
      <c r="G5" s="39"/>
      <c r="H5" s="56"/>
      <c r="I5" s="56"/>
      <c r="J5" s="39"/>
      <c r="K5" s="56"/>
      <c r="L5" s="56"/>
      <c r="M5" s="56"/>
      <c r="N5" s="224" t="s">
        <v>488</v>
      </c>
      <c r="O5" s="56"/>
      <c r="P5" s="56"/>
      <c r="Q5" s="56"/>
      <c r="R5" s="58"/>
      <c r="S5" s="217"/>
      <c r="T5" s="218"/>
      <c r="U5" s="218"/>
      <c r="V5" s="218"/>
      <c r="W5" s="219"/>
    </row>
    <row r="6" spans="1:23" ht="22.5" customHeight="1" x14ac:dyDescent="0.15">
      <c r="A6" s="209"/>
      <c r="B6" s="54" t="s">
        <v>489</v>
      </c>
      <c r="C6" s="41"/>
      <c r="D6" s="59"/>
      <c r="E6" s="60"/>
      <c r="F6" s="42"/>
      <c r="G6" s="43"/>
      <c r="H6" s="59"/>
      <c r="I6" s="60"/>
      <c r="J6" s="61"/>
      <c r="K6" s="60"/>
      <c r="L6" s="60"/>
      <c r="M6" s="59"/>
      <c r="N6" s="198"/>
      <c r="O6" s="118"/>
      <c r="P6" s="60"/>
      <c r="Q6" s="60"/>
      <c r="R6" s="62"/>
      <c r="S6" s="205"/>
      <c r="T6" s="207"/>
      <c r="U6" s="207"/>
      <c r="V6" s="207"/>
      <c r="W6" s="208"/>
    </row>
    <row r="7" spans="1:23" ht="22.5" customHeight="1" x14ac:dyDescent="0.15">
      <c r="A7" s="226" t="s">
        <v>650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53" t="s">
        <v>176</v>
      </c>
      <c r="S7" s="199"/>
      <c r="T7" s="200"/>
      <c r="U7" s="200"/>
      <c r="V7" s="200"/>
      <c r="W7" s="201"/>
    </row>
    <row r="8" spans="1:23" ht="22.5" customHeight="1" x14ac:dyDescent="0.15">
      <c r="A8" s="209"/>
      <c r="B8" s="225"/>
      <c r="C8" s="91"/>
      <c r="D8" s="73"/>
      <c r="E8" s="73"/>
      <c r="F8" s="73"/>
      <c r="G8" s="72"/>
      <c r="H8" s="73"/>
      <c r="I8" s="73"/>
      <c r="J8" s="74"/>
      <c r="K8" s="113"/>
      <c r="L8" s="73"/>
      <c r="M8" s="73"/>
      <c r="N8" s="73"/>
      <c r="O8" s="72"/>
      <c r="P8" s="73"/>
      <c r="Q8" s="73"/>
      <c r="R8" s="67" t="s">
        <v>490</v>
      </c>
      <c r="S8" s="202"/>
      <c r="T8" s="203"/>
      <c r="U8" s="203"/>
      <c r="V8" s="203"/>
      <c r="W8" s="204"/>
    </row>
    <row r="9" spans="1:23" ht="22.5" customHeight="1" x14ac:dyDescent="0.15">
      <c r="A9" s="226" t="s">
        <v>651</v>
      </c>
      <c r="B9" s="53" t="s">
        <v>765</v>
      </c>
      <c r="C9" s="55"/>
      <c r="D9" s="56"/>
      <c r="E9" s="56"/>
      <c r="F9" s="39"/>
      <c r="G9" s="39"/>
      <c r="H9" s="56"/>
      <c r="I9" s="56"/>
      <c r="J9" s="39"/>
      <c r="K9" s="56"/>
      <c r="L9" s="56"/>
      <c r="M9" s="56"/>
      <c r="N9" s="197" t="s">
        <v>488</v>
      </c>
      <c r="O9" s="56"/>
      <c r="P9" s="56"/>
      <c r="Q9" s="56"/>
      <c r="R9" s="106"/>
      <c r="S9" s="199"/>
      <c r="T9" s="200"/>
      <c r="U9" s="200"/>
      <c r="V9" s="200"/>
      <c r="W9" s="201"/>
    </row>
    <row r="10" spans="1:23" ht="22.5" customHeight="1" x14ac:dyDescent="0.15">
      <c r="A10" s="209"/>
      <c r="B10" s="54" t="s">
        <v>489</v>
      </c>
      <c r="C10" s="41"/>
      <c r="D10" s="59"/>
      <c r="E10" s="60"/>
      <c r="F10" s="42"/>
      <c r="G10" s="43"/>
      <c r="H10" s="59"/>
      <c r="I10" s="60"/>
      <c r="J10" s="61"/>
      <c r="K10" s="60"/>
      <c r="L10" s="60"/>
      <c r="M10" s="59"/>
      <c r="N10" s="198"/>
      <c r="O10" s="118"/>
      <c r="P10" s="60"/>
      <c r="Q10" s="60"/>
      <c r="R10" s="62"/>
      <c r="S10" s="202"/>
      <c r="T10" s="203"/>
      <c r="U10" s="203"/>
      <c r="V10" s="203"/>
      <c r="W10" s="204"/>
    </row>
    <row r="11" spans="1:23" ht="22.5" customHeight="1" x14ac:dyDescent="0.15">
      <c r="A11" s="226" t="s">
        <v>652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53" t="s">
        <v>176</v>
      </c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43"/>
      <c r="H12" s="42"/>
      <c r="I12" s="42"/>
      <c r="J12" s="61"/>
      <c r="K12" s="60"/>
      <c r="L12" s="42"/>
      <c r="M12" s="42"/>
      <c r="N12" s="42"/>
      <c r="O12" s="43"/>
      <c r="P12" s="42"/>
      <c r="Q12" s="42"/>
      <c r="R12" s="54" t="s">
        <v>490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653</v>
      </c>
      <c r="B13" s="53" t="s">
        <v>766</v>
      </c>
      <c r="C13" s="55"/>
      <c r="D13" s="56"/>
      <c r="E13" s="56"/>
      <c r="F13" s="39"/>
      <c r="G13" s="39"/>
      <c r="H13" s="56"/>
      <c r="I13" s="56"/>
      <c r="J13" s="39"/>
      <c r="K13" s="56"/>
      <c r="L13" s="56"/>
      <c r="M13" s="56"/>
      <c r="N13" s="197" t="s">
        <v>488</v>
      </c>
      <c r="O13" s="56"/>
      <c r="P13" s="56"/>
      <c r="Q13" s="56"/>
      <c r="R13" s="106"/>
      <c r="S13" s="199"/>
      <c r="T13" s="200"/>
      <c r="U13" s="200"/>
      <c r="V13" s="200"/>
      <c r="W13" s="201"/>
    </row>
    <row r="14" spans="1:23" ht="22.5" customHeight="1" x14ac:dyDescent="0.15">
      <c r="A14" s="209"/>
      <c r="B14" s="54" t="s">
        <v>489</v>
      </c>
      <c r="C14" s="41"/>
      <c r="D14" s="59"/>
      <c r="E14" s="60"/>
      <c r="F14" s="42"/>
      <c r="G14" s="43"/>
      <c r="H14" s="59"/>
      <c r="I14" s="60"/>
      <c r="J14" s="61"/>
      <c r="K14" s="60"/>
      <c r="L14" s="60"/>
      <c r="M14" s="59"/>
      <c r="N14" s="198"/>
      <c r="O14" s="118"/>
      <c r="P14" s="60"/>
      <c r="Q14" s="60"/>
      <c r="R14" s="62"/>
      <c r="S14" s="202"/>
      <c r="T14" s="203"/>
      <c r="U14" s="203"/>
      <c r="V14" s="203"/>
      <c r="W14" s="204"/>
    </row>
    <row r="15" spans="1:23" ht="22.5" customHeight="1" x14ac:dyDescent="0.15">
      <c r="A15" s="226" t="s">
        <v>654</v>
      </c>
      <c r="B15" s="197" t="s">
        <v>147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53" t="s">
        <v>176</v>
      </c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43"/>
      <c r="H16" s="42"/>
      <c r="I16" s="42"/>
      <c r="J16" s="61"/>
      <c r="K16" s="60"/>
      <c r="L16" s="42"/>
      <c r="M16" s="42"/>
      <c r="N16" s="42"/>
      <c r="O16" s="43"/>
      <c r="P16" s="42"/>
      <c r="Q16" s="42"/>
      <c r="R16" s="54" t="s">
        <v>490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655</v>
      </c>
      <c r="B17" s="53" t="s">
        <v>767</v>
      </c>
      <c r="C17" s="55"/>
      <c r="D17" s="56"/>
      <c r="E17" s="56"/>
      <c r="F17" s="39"/>
      <c r="G17" s="39"/>
      <c r="H17" s="56"/>
      <c r="I17" s="56"/>
      <c r="J17" s="39"/>
      <c r="K17" s="56"/>
      <c r="L17" s="56"/>
      <c r="M17" s="56"/>
      <c r="N17" s="197" t="s">
        <v>488</v>
      </c>
      <c r="O17" s="56"/>
      <c r="P17" s="56"/>
      <c r="Q17" s="56"/>
      <c r="R17" s="106"/>
      <c r="S17" s="199"/>
      <c r="T17" s="200"/>
      <c r="U17" s="200"/>
      <c r="V17" s="200"/>
      <c r="W17" s="201"/>
    </row>
    <row r="18" spans="1:23" ht="22.5" customHeight="1" x14ac:dyDescent="0.15">
      <c r="A18" s="209"/>
      <c r="B18" s="54" t="s">
        <v>489</v>
      </c>
      <c r="C18" s="41"/>
      <c r="D18" s="59"/>
      <c r="E18" s="60"/>
      <c r="F18" s="42"/>
      <c r="G18" s="43"/>
      <c r="H18" s="59"/>
      <c r="I18" s="60"/>
      <c r="J18" s="61"/>
      <c r="K18" s="60"/>
      <c r="L18" s="60"/>
      <c r="M18" s="59"/>
      <c r="N18" s="198"/>
      <c r="O18" s="118"/>
      <c r="P18" s="60"/>
      <c r="Q18" s="60"/>
      <c r="R18" s="62"/>
      <c r="S18" s="202"/>
      <c r="T18" s="203"/>
      <c r="U18" s="203"/>
      <c r="V18" s="203"/>
      <c r="W18" s="204"/>
    </row>
    <row r="19" spans="1:23" ht="22.5" customHeight="1" x14ac:dyDescent="0.15">
      <c r="A19" s="226" t="s">
        <v>656</v>
      </c>
      <c r="B19" s="197" t="s">
        <v>147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53" t="s">
        <v>176</v>
      </c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/>
      <c r="F20" s="42"/>
      <c r="G20" s="43"/>
      <c r="H20" s="42"/>
      <c r="I20" s="42"/>
      <c r="J20" s="61"/>
      <c r="K20" s="60"/>
      <c r="L20" s="42"/>
      <c r="M20" s="42"/>
      <c r="N20" s="42"/>
      <c r="O20" s="43"/>
      <c r="P20" s="42"/>
      <c r="Q20" s="42"/>
      <c r="R20" s="54" t="s">
        <v>490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657</v>
      </c>
      <c r="B21" s="53" t="s">
        <v>768</v>
      </c>
      <c r="C21" s="55"/>
      <c r="D21" s="56"/>
      <c r="E21" s="56"/>
      <c r="F21" s="39"/>
      <c r="G21" s="39"/>
      <c r="H21" s="56"/>
      <c r="I21" s="56"/>
      <c r="J21" s="39"/>
      <c r="K21" s="56"/>
      <c r="L21" s="56"/>
      <c r="M21" s="56"/>
      <c r="N21" s="197" t="s">
        <v>488</v>
      </c>
      <c r="O21" s="56"/>
      <c r="P21" s="56"/>
      <c r="Q21" s="56"/>
      <c r="R21" s="106"/>
      <c r="S21" s="199"/>
      <c r="T21" s="200"/>
      <c r="U21" s="200"/>
      <c r="V21" s="200"/>
      <c r="W21" s="201"/>
    </row>
    <row r="22" spans="1:23" ht="22.5" customHeight="1" x14ac:dyDescent="0.15">
      <c r="A22" s="209"/>
      <c r="B22" s="54" t="s">
        <v>489</v>
      </c>
      <c r="C22" s="41"/>
      <c r="D22" s="59"/>
      <c r="E22" s="60"/>
      <c r="F22" s="42"/>
      <c r="G22" s="43"/>
      <c r="H22" s="59"/>
      <c r="I22" s="60"/>
      <c r="J22" s="61"/>
      <c r="K22" s="60"/>
      <c r="L22" s="60"/>
      <c r="M22" s="59"/>
      <c r="N22" s="198"/>
      <c r="O22" s="118"/>
      <c r="P22" s="60"/>
      <c r="Q22" s="60"/>
      <c r="R22" s="62"/>
      <c r="S22" s="202"/>
      <c r="T22" s="203"/>
      <c r="U22" s="203"/>
      <c r="V22" s="203"/>
      <c r="W22" s="204"/>
    </row>
    <row r="23" spans="1:23" ht="22.5" customHeight="1" x14ac:dyDescent="0.15">
      <c r="A23" s="226" t="s">
        <v>82</v>
      </c>
      <c r="B23" s="197" t="s">
        <v>147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176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61"/>
      <c r="K24" s="60"/>
      <c r="L24" s="42"/>
      <c r="M24" s="42"/>
      <c r="N24" s="42"/>
      <c r="O24" s="43"/>
      <c r="P24" s="42"/>
      <c r="Q24" s="42"/>
      <c r="R24" s="54" t="s">
        <v>490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'D0290'!J28+1</f>
        <v>61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3">
    <mergeCell ref="A3:A4"/>
    <mergeCell ref="B3:B4"/>
    <mergeCell ref="S3:W4"/>
    <mergeCell ref="A5:A6"/>
    <mergeCell ref="S5:W6"/>
    <mergeCell ref="A7:A8"/>
    <mergeCell ref="B7:B8"/>
    <mergeCell ref="S7:W8"/>
    <mergeCell ref="A9:A10"/>
    <mergeCell ref="S9:W10"/>
    <mergeCell ref="A17:A18"/>
    <mergeCell ref="S17:W18"/>
    <mergeCell ref="A11:A12"/>
    <mergeCell ref="B11:B12"/>
    <mergeCell ref="S11:W12"/>
    <mergeCell ref="A13:A14"/>
    <mergeCell ref="S13:W14"/>
    <mergeCell ref="A23:A24"/>
    <mergeCell ref="B23:B24"/>
    <mergeCell ref="S23:W24"/>
    <mergeCell ref="N5:N6"/>
    <mergeCell ref="N9:N10"/>
    <mergeCell ref="N13:N14"/>
    <mergeCell ref="N17:N18"/>
    <mergeCell ref="N21:N22"/>
    <mergeCell ref="A19:A20"/>
    <mergeCell ref="B19:B20"/>
    <mergeCell ref="S19:W20"/>
    <mergeCell ref="A21:A22"/>
    <mergeCell ref="S21:W22"/>
    <mergeCell ref="A15:A16"/>
    <mergeCell ref="B15:B16"/>
    <mergeCell ref="S15:W16"/>
  </mergeCells>
  <phoneticPr fontId="18"/>
  <hyperlinks>
    <hyperlink ref="A1" location="レジスタ概要!A1" display="レジスタ概要!A1" xr:uid="{00000000-0004-0000-18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pageSetUpPr fitToPage="1"/>
  </sheetPr>
  <dimension ref="A1:W29"/>
  <sheetViews>
    <sheetView view="pageBreakPreview" topLeftCell="A4" zoomScale="85" zoomScaleNormal="100" zoomScaleSheetLayoutView="85" workbookViewId="0">
      <selection activeCell="J28" sqref="J2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IF(MID(A5,3,3)&lt;="390","伝送エリアマップ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658</v>
      </c>
      <c r="B5" s="57" t="s">
        <v>769</v>
      </c>
      <c r="C5" s="55"/>
      <c r="D5" s="56"/>
      <c r="E5" s="56"/>
      <c r="F5" s="39"/>
      <c r="G5" s="39"/>
      <c r="H5" s="56"/>
      <c r="I5" s="56"/>
      <c r="J5" s="39"/>
      <c r="K5" s="56"/>
      <c r="L5" s="56"/>
      <c r="M5" s="56"/>
      <c r="N5" s="224" t="s">
        <v>488</v>
      </c>
      <c r="O5" s="56"/>
      <c r="P5" s="56"/>
      <c r="Q5" s="56"/>
      <c r="R5" s="58"/>
      <c r="S5" s="199"/>
      <c r="T5" s="200"/>
      <c r="U5" s="200"/>
      <c r="V5" s="200"/>
      <c r="W5" s="201"/>
    </row>
    <row r="6" spans="1:23" ht="22.5" customHeight="1" x14ac:dyDescent="0.15">
      <c r="A6" s="209"/>
      <c r="B6" s="54" t="s">
        <v>489</v>
      </c>
      <c r="C6" s="41"/>
      <c r="D6" s="59"/>
      <c r="E6" s="60"/>
      <c r="F6" s="42"/>
      <c r="G6" s="43"/>
      <c r="H6" s="59"/>
      <c r="I6" s="60"/>
      <c r="J6" s="61"/>
      <c r="K6" s="60"/>
      <c r="L6" s="60"/>
      <c r="M6" s="59"/>
      <c r="N6" s="198"/>
      <c r="O6" s="118"/>
      <c r="P6" s="60"/>
      <c r="Q6" s="60"/>
      <c r="R6" s="62"/>
      <c r="S6" s="202"/>
      <c r="T6" s="203"/>
      <c r="U6" s="203"/>
      <c r="V6" s="203"/>
      <c r="W6" s="204"/>
    </row>
    <row r="7" spans="1:23" ht="22.5" customHeight="1" x14ac:dyDescent="0.15">
      <c r="A7" s="226" t="s">
        <v>659</v>
      </c>
      <c r="B7" s="197" t="s">
        <v>147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53" t="s">
        <v>176</v>
      </c>
      <c r="S7" s="199"/>
      <c r="T7" s="200"/>
      <c r="U7" s="200"/>
      <c r="V7" s="200"/>
      <c r="W7" s="201"/>
    </row>
    <row r="8" spans="1:23" ht="22.5" customHeight="1" x14ac:dyDescent="0.15">
      <c r="A8" s="209"/>
      <c r="B8" s="225"/>
      <c r="C8" s="91"/>
      <c r="D8" s="73"/>
      <c r="E8" s="73"/>
      <c r="F8" s="73"/>
      <c r="G8" s="72"/>
      <c r="H8" s="73"/>
      <c r="I8" s="73"/>
      <c r="J8" s="74"/>
      <c r="K8" s="113"/>
      <c r="L8" s="73"/>
      <c r="M8" s="73"/>
      <c r="N8" s="73"/>
      <c r="O8" s="72"/>
      <c r="P8" s="73"/>
      <c r="Q8" s="73"/>
      <c r="R8" s="67" t="s">
        <v>490</v>
      </c>
      <c r="S8" s="202"/>
      <c r="T8" s="203"/>
      <c r="U8" s="203"/>
      <c r="V8" s="203"/>
      <c r="W8" s="204"/>
    </row>
    <row r="9" spans="1:23" ht="22.5" customHeight="1" x14ac:dyDescent="0.15">
      <c r="A9" s="226" t="s">
        <v>660</v>
      </c>
      <c r="B9" s="53" t="s">
        <v>770</v>
      </c>
      <c r="C9" s="55"/>
      <c r="D9" s="56"/>
      <c r="E9" s="56"/>
      <c r="F9" s="39"/>
      <c r="G9" s="39"/>
      <c r="H9" s="56"/>
      <c r="I9" s="56"/>
      <c r="J9" s="39"/>
      <c r="K9" s="56"/>
      <c r="L9" s="56"/>
      <c r="M9" s="56"/>
      <c r="N9" s="197" t="s">
        <v>488</v>
      </c>
      <c r="O9" s="56"/>
      <c r="P9" s="56"/>
      <c r="Q9" s="56"/>
      <c r="R9" s="106"/>
      <c r="S9" s="199" t="s">
        <v>772</v>
      </c>
      <c r="T9" s="200"/>
      <c r="U9" s="200"/>
      <c r="V9" s="200"/>
      <c r="W9" s="201"/>
    </row>
    <row r="10" spans="1:23" ht="22.5" customHeight="1" x14ac:dyDescent="0.15">
      <c r="A10" s="209"/>
      <c r="B10" s="54" t="s">
        <v>489</v>
      </c>
      <c r="C10" s="41"/>
      <c r="D10" s="59"/>
      <c r="E10" s="60"/>
      <c r="F10" s="42"/>
      <c r="G10" s="43"/>
      <c r="H10" s="59"/>
      <c r="I10" s="60"/>
      <c r="J10" s="61"/>
      <c r="K10" s="60"/>
      <c r="L10" s="60"/>
      <c r="M10" s="59"/>
      <c r="N10" s="198"/>
      <c r="O10" s="118"/>
      <c r="P10" s="60"/>
      <c r="Q10" s="60"/>
      <c r="R10" s="62"/>
      <c r="S10" s="202"/>
      <c r="T10" s="203"/>
      <c r="U10" s="203"/>
      <c r="V10" s="203"/>
      <c r="W10" s="204"/>
    </row>
    <row r="11" spans="1:23" ht="22.5" customHeight="1" x14ac:dyDescent="0.15">
      <c r="A11" s="226" t="s">
        <v>482</v>
      </c>
      <c r="B11" s="197" t="s">
        <v>147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53" t="s">
        <v>176</v>
      </c>
      <c r="S11" s="199"/>
      <c r="T11" s="200"/>
      <c r="U11" s="200"/>
      <c r="V11" s="200"/>
      <c r="W11" s="201"/>
    </row>
    <row r="12" spans="1:23" ht="22.5" customHeight="1" x14ac:dyDescent="0.15">
      <c r="A12" s="209"/>
      <c r="B12" s="225"/>
      <c r="C12" s="91"/>
      <c r="D12" s="73"/>
      <c r="E12" s="73"/>
      <c r="F12" s="73"/>
      <c r="G12" s="72"/>
      <c r="H12" s="73"/>
      <c r="I12" s="73"/>
      <c r="J12" s="74"/>
      <c r="K12" s="113"/>
      <c r="L12" s="73"/>
      <c r="M12" s="73"/>
      <c r="N12" s="73"/>
      <c r="O12" s="72"/>
      <c r="P12" s="73"/>
      <c r="Q12" s="73"/>
      <c r="R12" s="67" t="s">
        <v>177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483</v>
      </c>
      <c r="B13" s="136" t="s">
        <v>771</v>
      </c>
      <c r="C13" s="138"/>
      <c r="D13" s="134"/>
      <c r="E13" s="134"/>
      <c r="F13" s="39"/>
      <c r="G13" s="39"/>
      <c r="H13" s="134"/>
      <c r="I13" s="134"/>
      <c r="J13" s="39"/>
      <c r="K13" s="134"/>
      <c r="L13" s="134"/>
      <c r="M13" s="134"/>
      <c r="N13" s="197" t="s">
        <v>488</v>
      </c>
      <c r="O13" s="134"/>
      <c r="P13" s="134"/>
      <c r="Q13" s="134"/>
      <c r="R13" s="106"/>
      <c r="S13" s="199" t="s">
        <v>772</v>
      </c>
      <c r="T13" s="200"/>
      <c r="U13" s="200"/>
      <c r="V13" s="200"/>
      <c r="W13" s="201"/>
    </row>
    <row r="14" spans="1:23" ht="22.5" customHeight="1" x14ac:dyDescent="0.15">
      <c r="A14" s="209"/>
      <c r="B14" s="137" t="s">
        <v>489</v>
      </c>
      <c r="C14" s="41"/>
      <c r="D14" s="59"/>
      <c r="E14" s="60"/>
      <c r="F14" s="42"/>
      <c r="G14" s="43"/>
      <c r="H14" s="59"/>
      <c r="I14" s="60"/>
      <c r="J14" s="61"/>
      <c r="K14" s="60"/>
      <c r="L14" s="60"/>
      <c r="M14" s="59"/>
      <c r="N14" s="198"/>
      <c r="O14" s="118"/>
      <c r="P14" s="60"/>
      <c r="Q14" s="60"/>
      <c r="R14" s="62"/>
      <c r="S14" s="202"/>
      <c r="T14" s="203"/>
      <c r="U14" s="203"/>
      <c r="V14" s="203"/>
      <c r="W14" s="204"/>
    </row>
    <row r="15" spans="1:23" ht="22.5" customHeight="1" x14ac:dyDescent="0.15">
      <c r="A15" s="226" t="s">
        <v>484</v>
      </c>
      <c r="B15" s="197" t="s">
        <v>147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136" t="s">
        <v>176</v>
      </c>
      <c r="S15" s="199"/>
      <c r="T15" s="200"/>
      <c r="U15" s="200"/>
      <c r="V15" s="200"/>
      <c r="W15" s="201"/>
    </row>
    <row r="16" spans="1:23" ht="22.5" customHeight="1" x14ac:dyDescent="0.15">
      <c r="A16" s="209"/>
      <c r="B16" s="225"/>
      <c r="C16" s="91"/>
      <c r="D16" s="73"/>
      <c r="E16" s="73"/>
      <c r="F16" s="73"/>
      <c r="G16" s="72"/>
      <c r="H16" s="73"/>
      <c r="I16" s="73"/>
      <c r="J16" s="74"/>
      <c r="K16" s="113"/>
      <c r="L16" s="73"/>
      <c r="M16" s="73"/>
      <c r="N16" s="73"/>
      <c r="O16" s="72"/>
      <c r="P16" s="73"/>
      <c r="Q16" s="73"/>
      <c r="R16" s="143" t="s">
        <v>177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485</v>
      </c>
      <c r="B17" s="197" t="s">
        <v>151</v>
      </c>
      <c r="C17" s="38"/>
      <c r="D17" s="39"/>
      <c r="E17" s="167"/>
      <c r="F17" s="39"/>
      <c r="G17" s="39"/>
      <c r="H17" s="167"/>
      <c r="I17" s="167"/>
      <c r="J17" s="39"/>
      <c r="K17" s="167"/>
      <c r="L17" s="167"/>
      <c r="M17" s="167"/>
      <c r="N17" s="39"/>
      <c r="O17" s="167"/>
      <c r="P17" s="39"/>
      <c r="Q17" s="167"/>
      <c r="R17" s="106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60"/>
      <c r="F18" s="42"/>
      <c r="G18" s="43"/>
      <c r="H18" s="59"/>
      <c r="I18" s="60"/>
      <c r="J18" s="61"/>
      <c r="K18" s="60"/>
      <c r="L18" s="59"/>
      <c r="M18" s="60"/>
      <c r="N18" s="61"/>
      <c r="O18" s="60"/>
      <c r="P18" s="61"/>
      <c r="Q18" s="70"/>
      <c r="R18" s="62"/>
      <c r="S18" s="202"/>
      <c r="T18" s="203"/>
      <c r="U18" s="203"/>
      <c r="V18" s="203"/>
      <c r="W18" s="204"/>
    </row>
    <row r="19" spans="1:23" ht="22.5" customHeight="1" x14ac:dyDescent="0.15">
      <c r="A19" s="226" t="s">
        <v>486</v>
      </c>
      <c r="B19" s="197" t="s">
        <v>151</v>
      </c>
      <c r="C19" s="38"/>
      <c r="D19" s="39"/>
      <c r="E19" s="167"/>
      <c r="F19" s="39"/>
      <c r="G19" s="39"/>
      <c r="H19" s="167"/>
      <c r="I19" s="167"/>
      <c r="J19" s="39"/>
      <c r="K19" s="167"/>
      <c r="L19" s="167"/>
      <c r="M19" s="167"/>
      <c r="N19" s="39"/>
      <c r="O19" s="167"/>
      <c r="P19" s="39"/>
      <c r="Q19" s="167"/>
      <c r="R19" s="106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60"/>
      <c r="F20" s="42"/>
      <c r="G20" s="43"/>
      <c r="H20" s="59"/>
      <c r="I20" s="60"/>
      <c r="J20" s="61"/>
      <c r="K20" s="60"/>
      <c r="L20" s="59"/>
      <c r="M20" s="60"/>
      <c r="N20" s="61"/>
      <c r="O20" s="60"/>
      <c r="P20" s="61"/>
      <c r="Q20" s="70"/>
      <c r="R20" s="62"/>
      <c r="S20" s="202"/>
      <c r="T20" s="203"/>
      <c r="U20" s="203"/>
      <c r="V20" s="203"/>
      <c r="W20" s="204"/>
    </row>
    <row r="21" spans="1:23" ht="22.5" customHeight="1" x14ac:dyDescent="0.15">
      <c r="A21" s="226" t="s">
        <v>487</v>
      </c>
      <c r="B21" s="197" t="s">
        <v>151</v>
      </c>
      <c r="C21" s="38"/>
      <c r="D21" s="39"/>
      <c r="E21" s="167"/>
      <c r="F21" s="39"/>
      <c r="G21" s="39"/>
      <c r="H21" s="167"/>
      <c r="I21" s="167"/>
      <c r="J21" s="39"/>
      <c r="K21" s="167"/>
      <c r="L21" s="167"/>
      <c r="M21" s="167"/>
      <c r="N21" s="39"/>
      <c r="O21" s="167"/>
      <c r="P21" s="39"/>
      <c r="Q21" s="167"/>
      <c r="R21" s="106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60"/>
      <c r="F22" s="42"/>
      <c r="G22" s="43"/>
      <c r="H22" s="59"/>
      <c r="I22" s="60"/>
      <c r="J22" s="61"/>
      <c r="K22" s="60"/>
      <c r="L22" s="59"/>
      <c r="M22" s="60"/>
      <c r="N22" s="61"/>
      <c r="O22" s="60"/>
      <c r="P22" s="61"/>
      <c r="Q22" s="70"/>
      <c r="R22" s="62"/>
      <c r="S22" s="202"/>
      <c r="T22" s="203"/>
      <c r="U22" s="203"/>
      <c r="V22" s="203"/>
      <c r="W22" s="204"/>
    </row>
    <row r="23" spans="1:23" ht="22.5" customHeight="1" x14ac:dyDescent="0.15">
      <c r="A23" s="226" t="s">
        <v>84</v>
      </c>
      <c r="B23" s="197" t="s">
        <v>151</v>
      </c>
      <c r="C23" s="38"/>
      <c r="D23" s="39"/>
      <c r="E23" s="167"/>
      <c r="F23" s="39"/>
      <c r="G23" s="39"/>
      <c r="H23" s="167"/>
      <c r="I23" s="167"/>
      <c r="J23" s="39"/>
      <c r="K23" s="167"/>
      <c r="L23" s="167"/>
      <c r="M23" s="167"/>
      <c r="N23" s="39"/>
      <c r="O23" s="167"/>
      <c r="P23" s="39"/>
      <c r="Q23" s="167"/>
      <c r="R23" s="106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60"/>
      <c r="F24" s="42"/>
      <c r="G24" s="43"/>
      <c r="H24" s="59"/>
      <c r="I24" s="60"/>
      <c r="J24" s="61"/>
      <c r="K24" s="60"/>
      <c r="L24" s="59"/>
      <c r="M24" s="60"/>
      <c r="N24" s="61"/>
      <c r="O24" s="60"/>
      <c r="P24" s="61"/>
      <c r="Q24" s="70"/>
      <c r="R24" s="62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'D0310'!J28+1</f>
        <v>62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3">
    <mergeCell ref="A3:A4"/>
    <mergeCell ref="B3:B4"/>
    <mergeCell ref="S3:W4"/>
    <mergeCell ref="A5:A6"/>
    <mergeCell ref="S5:W6"/>
    <mergeCell ref="B17:B18"/>
    <mergeCell ref="A7:A8"/>
    <mergeCell ref="B7:B8"/>
    <mergeCell ref="S7:W8"/>
    <mergeCell ref="A9:A10"/>
    <mergeCell ref="S9:W10"/>
    <mergeCell ref="N9:N10"/>
    <mergeCell ref="A11:A12"/>
    <mergeCell ref="B11:B12"/>
    <mergeCell ref="S11:W12"/>
    <mergeCell ref="A13:A14"/>
    <mergeCell ref="S13:W14"/>
    <mergeCell ref="B21:B22"/>
    <mergeCell ref="A23:A24"/>
    <mergeCell ref="B23:B24"/>
    <mergeCell ref="S23:W24"/>
    <mergeCell ref="N5:N6"/>
    <mergeCell ref="A19:A20"/>
    <mergeCell ref="B19:B20"/>
    <mergeCell ref="S19:W20"/>
    <mergeCell ref="A21:A22"/>
    <mergeCell ref="S21:W22"/>
    <mergeCell ref="A15:A16"/>
    <mergeCell ref="N13:N14"/>
    <mergeCell ref="B15:B16"/>
    <mergeCell ref="S15:W16"/>
    <mergeCell ref="A17:A18"/>
    <mergeCell ref="S17:W18"/>
  </mergeCells>
  <phoneticPr fontId="18"/>
  <hyperlinks>
    <hyperlink ref="A1" location="レジスタ概要!A1" display="レジスタ概要!A1" xr:uid="{00000000-0004-0000-19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>
    <pageSetUpPr fitToPage="1"/>
  </sheetPr>
  <dimension ref="A1:W29"/>
  <sheetViews>
    <sheetView view="pageBreakPreview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IF(MID(A5,3,3)&lt;="390","伝送エリアマップ ： [ ＰＬＣ → ＣＰＵ ]","伝送エリアマップ ： [ ＣＰＵ → ＰＬＣ ]")</f>
        <v>伝送エリアマップ ： [ ＰＬＣ → ＣＰＵ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663</v>
      </c>
      <c r="B5" s="153" t="s">
        <v>763</v>
      </c>
      <c r="C5" s="170"/>
      <c r="D5" s="65"/>
      <c r="E5" s="65"/>
      <c r="F5" s="104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199" t="s">
        <v>539</v>
      </c>
      <c r="T5" s="200"/>
      <c r="U5" s="200"/>
      <c r="V5" s="200"/>
      <c r="W5" s="201"/>
    </row>
    <row r="6" spans="1:23" ht="22.5" customHeight="1" x14ac:dyDescent="0.15">
      <c r="A6" s="209"/>
      <c r="B6" s="152" t="s">
        <v>488</v>
      </c>
      <c r="C6" s="60"/>
      <c r="D6" s="63">
        <v>1</v>
      </c>
      <c r="E6" s="63">
        <v>0</v>
      </c>
      <c r="F6" s="66">
        <v>17</v>
      </c>
      <c r="G6" s="41"/>
      <c r="H6" s="63">
        <v>1</v>
      </c>
      <c r="I6" s="63">
        <v>0</v>
      </c>
      <c r="J6" s="66">
        <v>16</v>
      </c>
      <c r="K6" s="41"/>
      <c r="L6" s="63">
        <v>1</v>
      </c>
      <c r="M6" s="63">
        <v>0</v>
      </c>
      <c r="N6" s="66">
        <v>15</v>
      </c>
      <c r="O6" s="41"/>
      <c r="P6" s="63">
        <v>1</v>
      </c>
      <c r="Q6" s="63">
        <v>0</v>
      </c>
      <c r="R6" s="66">
        <v>14</v>
      </c>
      <c r="S6" s="202"/>
      <c r="T6" s="203"/>
      <c r="U6" s="203"/>
      <c r="V6" s="203"/>
      <c r="W6" s="204"/>
    </row>
    <row r="7" spans="1:23" ht="22.5" customHeight="1" x14ac:dyDescent="0.15">
      <c r="A7" s="226" t="s">
        <v>664</v>
      </c>
      <c r="B7" s="197" t="s">
        <v>737</v>
      </c>
      <c r="C7" s="161"/>
      <c r="D7" s="162"/>
      <c r="E7" s="163"/>
      <c r="F7" s="39"/>
      <c r="G7" s="39"/>
      <c r="H7" s="167"/>
      <c r="I7" s="167"/>
      <c r="J7" s="39"/>
      <c r="K7" s="167"/>
      <c r="L7" s="167"/>
      <c r="M7" s="39"/>
      <c r="N7" s="39"/>
      <c r="O7" s="39"/>
      <c r="P7" s="39"/>
      <c r="R7" s="168"/>
      <c r="S7" s="199" t="s">
        <v>540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63">
        <v>1</v>
      </c>
      <c r="E8" s="63">
        <v>0</v>
      </c>
      <c r="F8" s="66">
        <v>13</v>
      </c>
      <c r="G8" s="41"/>
      <c r="H8" s="63">
        <v>1</v>
      </c>
      <c r="I8" s="63">
        <v>0</v>
      </c>
      <c r="J8" s="66">
        <v>12</v>
      </c>
      <c r="K8" s="41"/>
      <c r="L8" s="63">
        <v>1</v>
      </c>
      <c r="M8" s="63">
        <v>0</v>
      </c>
      <c r="N8" s="66">
        <v>11</v>
      </c>
      <c r="O8" s="41"/>
      <c r="P8" s="63">
        <v>1</v>
      </c>
      <c r="Q8" s="63">
        <v>0</v>
      </c>
      <c r="R8" s="66">
        <v>10</v>
      </c>
      <c r="S8" s="202"/>
      <c r="T8" s="203"/>
      <c r="U8" s="203"/>
      <c r="V8" s="203"/>
      <c r="W8" s="204"/>
    </row>
    <row r="9" spans="1:23" ht="22.5" customHeight="1" x14ac:dyDescent="0.15">
      <c r="A9" s="226" t="s">
        <v>665</v>
      </c>
      <c r="B9" s="197" t="s">
        <v>737</v>
      </c>
      <c r="C9" s="166"/>
      <c r="D9" s="167"/>
      <c r="E9" s="167"/>
      <c r="F9" s="39"/>
      <c r="G9" s="39"/>
      <c r="H9" s="167"/>
      <c r="I9" s="167"/>
      <c r="J9" s="39"/>
      <c r="K9" s="167"/>
      <c r="L9" s="167"/>
      <c r="M9" s="167"/>
      <c r="N9" s="167"/>
      <c r="O9" s="167"/>
      <c r="P9" s="167"/>
      <c r="Q9" s="167"/>
      <c r="R9" s="167"/>
      <c r="S9" s="199" t="s">
        <v>540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3">
        <v>1</v>
      </c>
      <c r="E10" s="63">
        <v>0</v>
      </c>
      <c r="F10" s="66">
        <v>9</v>
      </c>
      <c r="G10" s="41"/>
      <c r="H10" s="63">
        <v>1</v>
      </c>
      <c r="I10" s="63">
        <v>0</v>
      </c>
      <c r="J10" s="66">
        <v>8</v>
      </c>
      <c r="K10" s="41"/>
      <c r="L10" s="63">
        <v>1</v>
      </c>
      <c r="M10" s="63">
        <v>0</v>
      </c>
      <c r="N10" s="66">
        <v>7</v>
      </c>
      <c r="O10" s="41"/>
      <c r="P10" s="63">
        <v>1</v>
      </c>
      <c r="Q10" s="63">
        <v>0</v>
      </c>
      <c r="R10" s="66">
        <v>6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666</v>
      </c>
      <c r="B11" s="197" t="s">
        <v>737</v>
      </c>
      <c r="C11" s="166"/>
      <c r="D11" s="167"/>
      <c r="E11" s="167"/>
      <c r="F11" s="39"/>
      <c r="G11" s="39"/>
      <c r="H11" s="167"/>
      <c r="I11" s="167"/>
      <c r="J11" s="39"/>
      <c r="K11" s="167"/>
      <c r="L11" s="167"/>
      <c r="M11" s="167"/>
      <c r="N11" s="167"/>
      <c r="O11" s="167"/>
      <c r="P11" s="167"/>
      <c r="Q11" s="167"/>
      <c r="R11" s="167"/>
      <c r="S11" s="199" t="s">
        <v>738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3">
        <v>1</v>
      </c>
      <c r="E12" s="63">
        <v>0</v>
      </c>
      <c r="F12" s="66">
        <v>5</v>
      </c>
      <c r="G12" s="41"/>
      <c r="H12" s="63">
        <v>1</v>
      </c>
      <c r="I12" s="63">
        <v>0</v>
      </c>
      <c r="J12" s="66">
        <v>4</v>
      </c>
      <c r="K12" s="41"/>
      <c r="L12" s="63">
        <v>1</v>
      </c>
      <c r="M12" s="63">
        <v>0</v>
      </c>
      <c r="N12" s="66">
        <v>3</v>
      </c>
      <c r="O12" s="41"/>
      <c r="P12" s="63">
        <v>1</v>
      </c>
      <c r="Q12" s="63">
        <v>0</v>
      </c>
      <c r="R12" s="66">
        <v>2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667</v>
      </c>
      <c r="B13" s="197" t="s">
        <v>737</v>
      </c>
      <c r="C13" s="166"/>
      <c r="D13" s="167"/>
      <c r="E13" s="167"/>
      <c r="F13" s="39"/>
      <c r="G13" s="39"/>
      <c r="H13" s="167"/>
      <c r="I13" s="167"/>
      <c r="J13" s="39"/>
      <c r="K13" s="167"/>
      <c r="L13" s="167"/>
      <c r="M13" s="167"/>
      <c r="N13" s="167"/>
      <c r="O13" s="167"/>
      <c r="P13" s="167"/>
      <c r="Q13" s="167"/>
      <c r="R13" s="167"/>
      <c r="S13" s="205" t="s">
        <v>540</v>
      </c>
      <c r="T13" s="207"/>
      <c r="U13" s="207"/>
      <c r="V13" s="207"/>
      <c r="W13" s="208"/>
    </row>
    <row r="14" spans="1:23" ht="22.5" customHeight="1" x14ac:dyDescent="0.15">
      <c r="A14" s="209"/>
      <c r="B14" s="198"/>
      <c r="C14" s="41"/>
      <c r="D14" s="63">
        <v>1</v>
      </c>
      <c r="E14" s="63">
        <v>0</v>
      </c>
      <c r="F14" s="66">
        <v>1</v>
      </c>
      <c r="G14" s="41"/>
      <c r="H14" s="63">
        <v>1</v>
      </c>
      <c r="I14" s="63">
        <v>0</v>
      </c>
      <c r="J14" s="66">
        <v>0</v>
      </c>
      <c r="K14" s="60"/>
      <c r="L14" s="59"/>
      <c r="M14" s="60"/>
      <c r="N14" s="61"/>
      <c r="O14" s="60"/>
      <c r="P14" s="61"/>
      <c r="Q14" s="70"/>
      <c r="R14" s="62"/>
      <c r="S14" s="205"/>
      <c r="T14" s="207"/>
      <c r="U14" s="207"/>
      <c r="V14" s="207"/>
      <c r="W14" s="208"/>
    </row>
    <row r="15" spans="1:23" ht="22.5" customHeight="1" x14ac:dyDescent="0.15">
      <c r="A15" s="226" t="s">
        <v>668</v>
      </c>
      <c r="B15" s="197" t="s">
        <v>737</v>
      </c>
      <c r="C15" s="38"/>
      <c r="D15" s="39"/>
      <c r="E15" s="167"/>
      <c r="F15" s="39"/>
      <c r="G15" s="39"/>
      <c r="H15" s="167"/>
      <c r="I15" s="167"/>
      <c r="J15" s="39"/>
      <c r="K15" s="167"/>
      <c r="L15" s="167"/>
      <c r="M15" s="167"/>
      <c r="N15" s="39"/>
      <c r="O15" s="167"/>
      <c r="P15" s="39"/>
      <c r="Q15" s="167"/>
      <c r="R15" s="164" t="s">
        <v>176</v>
      </c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60"/>
      <c r="F16" s="42"/>
      <c r="G16" s="43"/>
      <c r="H16" s="59"/>
      <c r="I16" s="60"/>
      <c r="J16" s="61"/>
      <c r="K16" s="60"/>
      <c r="L16" s="59"/>
      <c r="M16" s="60"/>
      <c r="N16" s="61"/>
      <c r="O16" s="60"/>
      <c r="P16" s="61"/>
      <c r="Q16" s="70"/>
      <c r="R16" s="165" t="s">
        <v>177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669</v>
      </c>
      <c r="B17" s="197" t="s">
        <v>151</v>
      </c>
      <c r="C17" s="38"/>
      <c r="D17" s="39"/>
      <c r="E17" s="167"/>
      <c r="F17" s="39"/>
      <c r="G17" s="39"/>
      <c r="H17" s="167"/>
      <c r="I17" s="167"/>
      <c r="J17" s="39"/>
      <c r="K17" s="167"/>
      <c r="L17" s="167"/>
      <c r="M17" s="167"/>
      <c r="N17" s="39"/>
      <c r="O17" s="167"/>
      <c r="P17" s="39"/>
      <c r="Q17" s="167"/>
      <c r="R17" s="106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42"/>
      <c r="E18" s="60"/>
      <c r="F18" s="42"/>
      <c r="G18" s="43"/>
      <c r="H18" s="59"/>
      <c r="I18" s="60"/>
      <c r="J18" s="61"/>
      <c r="K18" s="60"/>
      <c r="L18" s="59"/>
      <c r="M18" s="60"/>
      <c r="N18" s="61"/>
      <c r="O18" s="60"/>
      <c r="P18" s="61"/>
      <c r="Q18" s="70"/>
      <c r="R18" s="62"/>
      <c r="S18" s="202"/>
      <c r="T18" s="203"/>
      <c r="U18" s="203"/>
      <c r="V18" s="203"/>
      <c r="W18" s="204"/>
    </row>
    <row r="19" spans="1:23" ht="22.5" customHeight="1" x14ac:dyDescent="0.15">
      <c r="A19" s="226" t="s">
        <v>670</v>
      </c>
      <c r="B19" s="197" t="s">
        <v>151</v>
      </c>
      <c r="C19" s="38"/>
      <c r="D19" s="39"/>
      <c r="E19" s="167"/>
      <c r="F19" s="39"/>
      <c r="G19" s="39"/>
      <c r="H19" s="167"/>
      <c r="I19" s="167"/>
      <c r="J19" s="39"/>
      <c r="K19" s="167"/>
      <c r="L19" s="167"/>
      <c r="M19" s="167"/>
      <c r="N19" s="39"/>
      <c r="O19" s="167"/>
      <c r="P19" s="39"/>
      <c r="Q19" s="167"/>
      <c r="R19" s="106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60"/>
      <c r="F20" s="42"/>
      <c r="G20" s="43"/>
      <c r="H20" s="59"/>
      <c r="I20" s="60"/>
      <c r="J20" s="61"/>
      <c r="K20" s="60"/>
      <c r="L20" s="59"/>
      <c r="M20" s="60"/>
      <c r="N20" s="61"/>
      <c r="O20" s="60"/>
      <c r="P20" s="61"/>
      <c r="Q20" s="70"/>
      <c r="R20" s="62"/>
      <c r="S20" s="202"/>
      <c r="T20" s="203"/>
      <c r="U20" s="203"/>
      <c r="V20" s="203"/>
      <c r="W20" s="204"/>
    </row>
    <row r="21" spans="1:23" ht="22.5" customHeight="1" x14ac:dyDescent="0.15">
      <c r="A21" s="226" t="s">
        <v>671</v>
      </c>
      <c r="B21" s="197" t="s">
        <v>151</v>
      </c>
      <c r="C21" s="38"/>
      <c r="D21" s="39"/>
      <c r="E21" s="167"/>
      <c r="F21" s="39"/>
      <c r="G21" s="39"/>
      <c r="H21" s="167"/>
      <c r="I21" s="167"/>
      <c r="J21" s="39"/>
      <c r="K21" s="167"/>
      <c r="L21" s="167"/>
      <c r="M21" s="167"/>
      <c r="N21" s="39"/>
      <c r="O21" s="167"/>
      <c r="P21" s="39"/>
      <c r="Q21" s="167"/>
      <c r="R21" s="106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60"/>
      <c r="F22" s="42"/>
      <c r="G22" s="43"/>
      <c r="H22" s="59"/>
      <c r="I22" s="60"/>
      <c r="J22" s="61"/>
      <c r="K22" s="60"/>
      <c r="L22" s="59"/>
      <c r="M22" s="60"/>
      <c r="N22" s="61"/>
      <c r="O22" s="60"/>
      <c r="P22" s="61"/>
      <c r="Q22" s="70"/>
      <c r="R22" s="62"/>
      <c r="S22" s="202"/>
      <c r="T22" s="203"/>
      <c r="U22" s="203"/>
      <c r="V22" s="203"/>
      <c r="W22" s="204"/>
    </row>
    <row r="23" spans="1:23" ht="22.5" customHeight="1" x14ac:dyDescent="0.15">
      <c r="A23" s="226" t="s">
        <v>96</v>
      </c>
      <c r="B23" s="197" t="s">
        <v>151</v>
      </c>
      <c r="C23" s="38"/>
      <c r="D23" s="39"/>
      <c r="E23" s="167"/>
      <c r="F23" s="39"/>
      <c r="G23" s="39"/>
      <c r="H23" s="167"/>
      <c r="I23" s="167"/>
      <c r="J23" s="39"/>
      <c r="K23" s="167"/>
      <c r="L23" s="167"/>
      <c r="M23" s="167"/>
      <c r="N23" s="39"/>
      <c r="O23" s="167"/>
      <c r="P23" s="39"/>
      <c r="Q23" s="167"/>
      <c r="R23" s="106"/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60"/>
      <c r="F24" s="42"/>
      <c r="G24" s="43"/>
      <c r="H24" s="59"/>
      <c r="I24" s="60"/>
      <c r="J24" s="61"/>
      <c r="K24" s="60"/>
      <c r="L24" s="59"/>
      <c r="M24" s="60"/>
      <c r="N24" s="61"/>
      <c r="O24" s="60"/>
      <c r="P24" s="61"/>
      <c r="Q24" s="70"/>
      <c r="R24" s="62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0" t="s">
        <v>785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'D0320'!J28+1</f>
        <v>63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2">
    <mergeCell ref="A23:A24"/>
    <mergeCell ref="B23:B24"/>
    <mergeCell ref="S23:W24"/>
    <mergeCell ref="B9:B10"/>
    <mergeCell ref="B13:B14"/>
    <mergeCell ref="A19:A20"/>
    <mergeCell ref="B19:B20"/>
    <mergeCell ref="S19:W20"/>
    <mergeCell ref="A21:A22"/>
    <mergeCell ref="B21:B22"/>
    <mergeCell ref="S21:W22"/>
    <mergeCell ref="A15:A16"/>
    <mergeCell ref="B15:B16"/>
    <mergeCell ref="S15:W16"/>
    <mergeCell ref="A17:A18"/>
    <mergeCell ref="B17:B18"/>
    <mergeCell ref="S17:W18"/>
    <mergeCell ref="A13:A14"/>
    <mergeCell ref="S13:W14"/>
    <mergeCell ref="A7:A8"/>
    <mergeCell ref="B7:B8"/>
    <mergeCell ref="S7:W8"/>
    <mergeCell ref="A9:A10"/>
    <mergeCell ref="S9:W10"/>
    <mergeCell ref="A11:A12"/>
    <mergeCell ref="B11:B12"/>
    <mergeCell ref="S11:W12"/>
    <mergeCell ref="A3:A4"/>
    <mergeCell ref="B3:B4"/>
    <mergeCell ref="S3:W4"/>
    <mergeCell ref="A5:A6"/>
    <mergeCell ref="S5:W6"/>
  </mergeCells>
  <phoneticPr fontId="18"/>
  <hyperlinks>
    <hyperlink ref="A1" location="レジスタ概要!A1" display="レジスタ概要!A1" xr:uid="{00000000-0004-0000-1B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pageSetUpPr fitToPage="1"/>
  </sheetPr>
  <dimension ref="A1:W29"/>
  <sheetViews>
    <sheetView view="pageBreakPreview" zoomScale="85" zoomScaleNormal="100" zoomScaleSheetLayoutView="85" workbookViewId="0">
      <selection activeCell="B6" sqref="B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205</v>
      </c>
      <c r="B5" s="57" t="s">
        <v>465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206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207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208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209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210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211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212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213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214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'D0380'!J28+1</f>
        <v>64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G17:J17"/>
    <mergeCell ref="K17:N17"/>
    <mergeCell ref="O17:R17"/>
    <mergeCell ref="A23:A24"/>
    <mergeCell ref="B23:B24"/>
    <mergeCell ref="A21:A22"/>
    <mergeCell ref="B21:B22"/>
    <mergeCell ref="S23:W24"/>
    <mergeCell ref="C23:R23"/>
    <mergeCell ref="S15:W16"/>
    <mergeCell ref="A17:A18"/>
    <mergeCell ref="B17:B18"/>
    <mergeCell ref="S17:W18"/>
    <mergeCell ref="C15:J15"/>
    <mergeCell ref="K15:R15"/>
    <mergeCell ref="A15:A16"/>
    <mergeCell ref="B15:B16"/>
    <mergeCell ref="S21:W22"/>
    <mergeCell ref="C19:R19"/>
    <mergeCell ref="C21:R21"/>
    <mergeCell ref="A19:A20"/>
    <mergeCell ref="B19:B20"/>
    <mergeCell ref="S19:W20"/>
    <mergeCell ref="C13:R13"/>
    <mergeCell ref="S11:W12"/>
    <mergeCell ref="A13:A14"/>
    <mergeCell ref="B13:B14"/>
    <mergeCell ref="S13:W14"/>
    <mergeCell ref="C11:R11"/>
    <mergeCell ref="A11:A12"/>
    <mergeCell ref="B11:B12"/>
    <mergeCell ref="A7:A8"/>
    <mergeCell ref="B7:B8"/>
    <mergeCell ref="S7:W8"/>
    <mergeCell ref="A9:A10"/>
    <mergeCell ref="B9:B10"/>
    <mergeCell ref="S9:W10"/>
    <mergeCell ref="C9:R9"/>
    <mergeCell ref="O7:P7"/>
    <mergeCell ref="Q7:R7"/>
    <mergeCell ref="A3:A4"/>
    <mergeCell ref="B3:B4"/>
    <mergeCell ref="S3:W4"/>
    <mergeCell ref="A5:A6"/>
    <mergeCell ref="S5:W6"/>
    <mergeCell ref="K5:R5"/>
  </mergeCells>
  <phoneticPr fontId="18"/>
  <hyperlinks>
    <hyperlink ref="A1" location="レジスタ概要!A1" display="レジスタ概要!A1" xr:uid="{00000000-0004-0000-1D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>
    <pageSetUpPr fitToPage="1"/>
  </sheetPr>
  <dimension ref="A1:W29"/>
  <sheetViews>
    <sheetView view="pageBreakPreview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215</v>
      </c>
      <c r="B5" s="57" t="s">
        <v>465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216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217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218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219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220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221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222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223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224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'D0400'!J28+1</f>
        <v>65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S15:W16"/>
    <mergeCell ref="S17:W18"/>
    <mergeCell ref="R21:R22"/>
    <mergeCell ref="B21:B22"/>
    <mergeCell ref="B19:B20"/>
    <mergeCell ref="A19:A20"/>
    <mergeCell ref="S23:W24"/>
    <mergeCell ref="B23:B24"/>
    <mergeCell ref="S19:W20"/>
    <mergeCell ref="S11:W12"/>
    <mergeCell ref="S21:W22"/>
    <mergeCell ref="R23:R24"/>
    <mergeCell ref="A17:A18"/>
    <mergeCell ref="A11:A12"/>
    <mergeCell ref="B11:B12"/>
    <mergeCell ref="B13:B14"/>
    <mergeCell ref="A21:A22"/>
    <mergeCell ref="A13:A14"/>
    <mergeCell ref="S13:W14"/>
    <mergeCell ref="B17:B18"/>
    <mergeCell ref="A23:A24"/>
    <mergeCell ref="A3:A4"/>
    <mergeCell ref="B7:B8"/>
    <mergeCell ref="A7:A8"/>
    <mergeCell ref="B15:B16"/>
    <mergeCell ref="K7:N7"/>
    <mergeCell ref="B3:B4"/>
    <mergeCell ref="C11:R11"/>
    <mergeCell ref="A5:A6"/>
    <mergeCell ref="A9:A10"/>
    <mergeCell ref="G7:J7"/>
    <mergeCell ref="O7:R7"/>
    <mergeCell ref="C9:R9"/>
    <mergeCell ref="A15:A16"/>
    <mergeCell ref="S5:W6"/>
    <mergeCell ref="K5:R5"/>
    <mergeCell ref="C5:J5"/>
    <mergeCell ref="S3:W4"/>
    <mergeCell ref="B9:B10"/>
    <mergeCell ref="S9:W10"/>
    <mergeCell ref="S7:W8"/>
  </mergeCells>
  <phoneticPr fontId="18"/>
  <hyperlinks>
    <hyperlink ref="A1" location="レジスタ概要!A1" display="レジスタ概要!A1" xr:uid="{00000000-0004-0000-1E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pageSetUpPr fitToPage="1"/>
  </sheetPr>
  <dimension ref="A1:W29"/>
  <sheetViews>
    <sheetView view="pageBreakPreview" zoomScale="85" zoomScaleNormal="100" zoomScaleSheetLayoutView="85" workbookViewId="0">
      <selection activeCell="B27" sqref="B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225</v>
      </c>
      <c r="B5" s="57" t="s">
        <v>477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226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227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228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229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230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231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232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233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234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'D0410'!J28+1</f>
        <v>66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A23:A24"/>
    <mergeCell ref="B23:B24"/>
    <mergeCell ref="K5:R5"/>
    <mergeCell ref="O7:P7"/>
    <mergeCell ref="Q7:R7"/>
    <mergeCell ref="C13:R13"/>
    <mergeCell ref="A15:A16"/>
    <mergeCell ref="B15:B16"/>
    <mergeCell ref="A11:A12"/>
    <mergeCell ref="A19:A20"/>
    <mergeCell ref="B19:B20"/>
    <mergeCell ref="C23:R23"/>
    <mergeCell ref="A7:A8"/>
    <mergeCell ref="B7:B8"/>
    <mergeCell ref="K15:R15"/>
    <mergeCell ref="G17:J17"/>
    <mergeCell ref="K17:N17"/>
    <mergeCell ref="S19:W20"/>
    <mergeCell ref="A21:A22"/>
    <mergeCell ref="B21:B22"/>
    <mergeCell ref="S21:W22"/>
    <mergeCell ref="C19:R19"/>
    <mergeCell ref="C21:R21"/>
    <mergeCell ref="O17:R17"/>
    <mergeCell ref="S23:W24"/>
    <mergeCell ref="A9:A10"/>
    <mergeCell ref="B9:B10"/>
    <mergeCell ref="S9:W10"/>
    <mergeCell ref="C9:R9"/>
    <mergeCell ref="S11:W12"/>
    <mergeCell ref="A13:A14"/>
    <mergeCell ref="B13:B14"/>
    <mergeCell ref="S13:W14"/>
    <mergeCell ref="C11:R11"/>
    <mergeCell ref="B11:B12"/>
    <mergeCell ref="S15:W16"/>
    <mergeCell ref="A17:A18"/>
    <mergeCell ref="B17:B18"/>
    <mergeCell ref="S17:W18"/>
    <mergeCell ref="C15:J15"/>
    <mergeCell ref="S7:W8"/>
    <mergeCell ref="A3:A4"/>
    <mergeCell ref="B3:B4"/>
    <mergeCell ref="S3:W4"/>
    <mergeCell ref="A5:A6"/>
    <mergeCell ref="S5:W6"/>
  </mergeCells>
  <phoneticPr fontId="18"/>
  <hyperlinks>
    <hyperlink ref="A1" location="レジスタ概要!A1" display="レジスタ概要!A1" xr:uid="{00000000-0004-0000-1F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>
    <pageSetUpPr fitToPage="1"/>
  </sheetPr>
  <dimension ref="A1:W29"/>
  <sheetViews>
    <sheetView view="pageBreakPreview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235</v>
      </c>
      <c r="B5" s="57" t="s">
        <v>477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236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237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238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239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240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241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242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243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244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'D0420'!J28+1</f>
        <v>67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23:A24"/>
    <mergeCell ref="B23:B24"/>
    <mergeCell ref="S23:W24"/>
    <mergeCell ref="A19:A20"/>
    <mergeCell ref="B19:B20"/>
    <mergeCell ref="S19:W20"/>
    <mergeCell ref="A21:A22"/>
    <mergeCell ref="R21:R22"/>
    <mergeCell ref="B21:B22"/>
    <mergeCell ref="S21:W22"/>
    <mergeCell ref="R23:R24"/>
    <mergeCell ref="A15:A16"/>
    <mergeCell ref="B15:B16"/>
    <mergeCell ref="S15:W16"/>
    <mergeCell ref="A17:A18"/>
    <mergeCell ref="B17:B18"/>
    <mergeCell ref="S17:W18"/>
    <mergeCell ref="A11:A12"/>
    <mergeCell ref="B11:B12"/>
    <mergeCell ref="S11:W12"/>
    <mergeCell ref="A13:A14"/>
    <mergeCell ref="B13:B14"/>
    <mergeCell ref="S13:W14"/>
    <mergeCell ref="C11:R11"/>
    <mergeCell ref="S7:W8"/>
    <mergeCell ref="A9:A10"/>
    <mergeCell ref="B9:B10"/>
    <mergeCell ref="S9:W10"/>
    <mergeCell ref="C9:R9"/>
    <mergeCell ref="G7:J7"/>
    <mergeCell ref="K7:N7"/>
    <mergeCell ref="O7:R7"/>
    <mergeCell ref="A7:A8"/>
    <mergeCell ref="B7:B8"/>
    <mergeCell ref="A3:A4"/>
    <mergeCell ref="B3:B4"/>
    <mergeCell ref="S3:W4"/>
    <mergeCell ref="A5:A6"/>
    <mergeCell ref="S5:W6"/>
    <mergeCell ref="C5:J5"/>
    <mergeCell ref="K5:R5"/>
  </mergeCells>
  <phoneticPr fontId="18"/>
  <hyperlinks>
    <hyperlink ref="A1" location="レジスタ概要!A1" display="レジスタ概要!A1" xr:uid="{00000000-0004-0000-20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>
    <pageSetUpPr fitToPage="1"/>
  </sheetPr>
  <dimension ref="A1:W29"/>
  <sheetViews>
    <sheetView view="pageBreakPreview" topLeftCell="A7" zoomScale="85" zoomScaleNormal="100" zoomScaleSheetLayoutView="85" workbookViewId="0">
      <selection activeCell="B27" sqref="B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245</v>
      </c>
      <c r="B5" s="57" t="s">
        <v>478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246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247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248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249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250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251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252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253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254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'D0430'!J28+1</f>
        <v>68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B19:B20"/>
    <mergeCell ref="S19:W20"/>
    <mergeCell ref="A21:A22"/>
    <mergeCell ref="B21:B22"/>
    <mergeCell ref="S21:W22"/>
    <mergeCell ref="C19:R19"/>
    <mergeCell ref="C21:R21"/>
    <mergeCell ref="A23:A24"/>
    <mergeCell ref="B23:B24"/>
    <mergeCell ref="S23:W24"/>
    <mergeCell ref="C23:R23"/>
    <mergeCell ref="C15:J15"/>
    <mergeCell ref="K15:R15"/>
    <mergeCell ref="A15:A16"/>
    <mergeCell ref="B15:B16"/>
    <mergeCell ref="O17:R17"/>
    <mergeCell ref="A17:A18"/>
    <mergeCell ref="B17:B18"/>
    <mergeCell ref="S17:W18"/>
    <mergeCell ref="G17:J17"/>
    <mergeCell ref="K17:N17"/>
    <mergeCell ref="S15:W16"/>
    <mergeCell ref="A19:A20"/>
    <mergeCell ref="S11:W12"/>
    <mergeCell ref="A13:A14"/>
    <mergeCell ref="B13:B14"/>
    <mergeCell ref="S13:W14"/>
    <mergeCell ref="C11:R11"/>
    <mergeCell ref="A11:A12"/>
    <mergeCell ref="B11:B12"/>
    <mergeCell ref="C13:R13"/>
    <mergeCell ref="S7:W8"/>
    <mergeCell ref="A9:A10"/>
    <mergeCell ref="B9:B10"/>
    <mergeCell ref="S9:W10"/>
    <mergeCell ref="C9:R9"/>
    <mergeCell ref="A7:A8"/>
    <mergeCell ref="B7:B8"/>
    <mergeCell ref="O7:P7"/>
    <mergeCell ref="Q7:R7"/>
    <mergeCell ref="S3:W4"/>
    <mergeCell ref="A5:A6"/>
    <mergeCell ref="S5:W6"/>
    <mergeCell ref="A3:A4"/>
    <mergeCell ref="B3:B4"/>
    <mergeCell ref="K5:R5"/>
  </mergeCells>
  <phoneticPr fontId="18"/>
  <hyperlinks>
    <hyperlink ref="A1" location="レジスタ概要!A1" display="レジスタ概要!A1" xr:uid="{00000000-0004-0000-21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W29"/>
  <sheetViews>
    <sheetView view="pageBreakPreview" topLeftCell="A4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255</v>
      </c>
      <c r="B5" s="57" t="s">
        <v>478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256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257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258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259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260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261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262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263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264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'D0440'!J28+1</f>
        <v>69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23:A24"/>
    <mergeCell ref="B23:B24"/>
    <mergeCell ref="S23:W24"/>
    <mergeCell ref="A19:A20"/>
    <mergeCell ref="B19:B20"/>
    <mergeCell ref="S19:W20"/>
    <mergeCell ref="A21:A22"/>
    <mergeCell ref="R21:R22"/>
    <mergeCell ref="B21:B22"/>
    <mergeCell ref="S21:W22"/>
    <mergeCell ref="R23:R24"/>
    <mergeCell ref="A15:A16"/>
    <mergeCell ref="B15:B16"/>
    <mergeCell ref="S15:W16"/>
    <mergeCell ref="A17:A18"/>
    <mergeCell ref="B17:B18"/>
    <mergeCell ref="S17:W18"/>
    <mergeCell ref="A11:A12"/>
    <mergeCell ref="B11:B12"/>
    <mergeCell ref="S11:W12"/>
    <mergeCell ref="A13:A14"/>
    <mergeCell ref="B13:B14"/>
    <mergeCell ref="S13:W14"/>
    <mergeCell ref="C11:R11"/>
    <mergeCell ref="S7:W8"/>
    <mergeCell ref="A9:A10"/>
    <mergeCell ref="B9:B10"/>
    <mergeCell ref="S9:W10"/>
    <mergeCell ref="C9:R9"/>
    <mergeCell ref="G7:J7"/>
    <mergeCell ref="K7:N7"/>
    <mergeCell ref="O7:R7"/>
    <mergeCell ref="A7:A8"/>
    <mergeCell ref="B7:B8"/>
    <mergeCell ref="A3:A4"/>
    <mergeCell ref="B3:B4"/>
    <mergeCell ref="S3:W4"/>
    <mergeCell ref="A5:A6"/>
    <mergeCell ref="S5:W6"/>
    <mergeCell ref="C5:J5"/>
    <mergeCell ref="K5:R5"/>
  </mergeCells>
  <phoneticPr fontId="18"/>
  <hyperlinks>
    <hyperlink ref="A1" location="レジスタ概要!A1" display="レジスタ概要!A1" xr:uid="{00000000-0004-0000-22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>
    <pageSetUpPr fitToPage="1"/>
  </sheetPr>
  <dimension ref="A1:W29"/>
  <sheetViews>
    <sheetView view="pageBreakPreview" topLeftCell="A7" zoomScale="85" zoomScaleNormal="100" zoomScaleSheetLayoutView="85" workbookViewId="0">
      <selection activeCell="B27" sqref="B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265</v>
      </c>
      <c r="B5" s="57" t="s">
        <v>479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266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267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268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269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270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271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272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273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274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'D0450'!J28+1</f>
        <v>70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S19:W20"/>
    <mergeCell ref="A21:A22"/>
    <mergeCell ref="C23:R23"/>
    <mergeCell ref="B21:B22"/>
    <mergeCell ref="S21:W22"/>
    <mergeCell ref="A23:A24"/>
    <mergeCell ref="B23:B24"/>
    <mergeCell ref="S23:W24"/>
    <mergeCell ref="A19:A20"/>
    <mergeCell ref="B19:B20"/>
    <mergeCell ref="C21:R21"/>
    <mergeCell ref="C19:R19"/>
    <mergeCell ref="A17:A18"/>
    <mergeCell ref="B17:B18"/>
    <mergeCell ref="S17:W18"/>
    <mergeCell ref="G17:J17"/>
    <mergeCell ref="K17:N17"/>
    <mergeCell ref="O17:R17"/>
    <mergeCell ref="A15:A16"/>
    <mergeCell ref="B15:B16"/>
    <mergeCell ref="S15:W16"/>
    <mergeCell ref="S9:W10"/>
    <mergeCell ref="C9:R9"/>
    <mergeCell ref="C11:R11"/>
    <mergeCell ref="S13:W14"/>
    <mergeCell ref="C15:J15"/>
    <mergeCell ref="K15:R15"/>
    <mergeCell ref="S11:W12"/>
    <mergeCell ref="C13:R13"/>
    <mergeCell ref="A9:A10"/>
    <mergeCell ref="B9:B10"/>
    <mergeCell ref="A13:A14"/>
    <mergeCell ref="A11:A12"/>
    <mergeCell ref="B11:B12"/>
    <mergeCell ref="B13:B14"/>
    <mergeCell ref="S3:W4"/>
    <mergeCell ref="A5:A6"/>
    <mergeCell ref="S5:W6"/>
    <mergeCell ref="K5:R5"/>
    <mergeCell ref="A7:A8"/>
    <mergeCell ref="S7:W8"/>
    <mergeCell ref="O7:P7"/>
    <mergeCell ref="Q7:R7"/>
    <mergeCell ref="A3:A4"/>
    <mergeCell ref="B3:B4"/>
    <mergeCell ref="B7:B8"/>
  </mergeCells>
  <phoneticPr fontId="18"/>
  <hyperlinks>
    <hyperlink ref="A1" location="レジスタ概要!A1" display="レジスタ概要!A1" xr:uid="{00000000-0004-0000-23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>
    <pageSetUpPr fitToPage="1"/>
  </sheetPr>
  <dimension ref="A1:W29"/>
  <sheetViews>
    <sheetView view="pageBreakPreview" topLeftCell="A4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275</v>
      </c>
      <c r="B5" s="57" t="s">
        <v>479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276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277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278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279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280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281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282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283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284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'D0460'!J28+1</f>
        <v>71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23:A24"/>
    <mergeCell ref="B23:B24"/>
    <mergeCell ref="S23:W24"/>
    <mergeCell ref="A19:A20"/>
    <mergeCell ref="B19:B20"/>
    <mergeCell ref="S19:W20"/>
    <mergeCell ref="A21:A22"/>
    <mergeCell ref="R21:R22"/>
    <mergeCell ref="B21:B22"/>
    <mergeCell ref="S21:W22"/>
    <mergeCell ref="R23:R24"/>
    <mergeCell ref="A15:A16"/>
    <mergeCell ref="B15:B16"/>
    <mergeCell ref="S15:W16"/>
    <mergeCell ref="A17:A18"/>
    <mergeCell ref="B17:B18"/>
    <mergeCell ref="S17:W18"/>
    <mergeCell ref="A11:A12"/>
    <mergeCell ref="B11:B12"/>
    <mergeCell ref="S11:W12"/>
    <mergeCell ref="A13:A14"/>
    <mergeCell ref="B13:B14"/>
    <mergeCell ref="S13:W14"/>
    <mergeCell ref="C11:R11"/>
    <mergeCell ref="S7:W8"/>
    <mergeCell ref="A9:A10"/>
    <mergeCell ref="B9:B10"/>
    <mergeCell ref="S9:W10"/>
    <mergeCell ref="C9:R9"/>
    <mergeCell ref="G7:J7"/>
    <mergeCell ref="K7:N7"/>
    <mergeCell ref="O7:R7"/>
    <mergeCell ref="A7:A8"/>
    <mergeCell ref="B7:B8"/>
    <mergeCell ref="A3:A4"/>
    <mergeCell ref="B3:B4"/>
    <mergeCell ref="S3:W4"/>
    <mergeCell ref="A5:A6"/>
    <mergeCell ref="S5:W6"/>
    <mergeCell ref="C5:J5"/>
    <mergeCell ref="K5:R5"/>
  </mergeCells>
  <phoneticPr fontId="18"/>
  <hyperlinks>
    <hyperlink ref="A1" location="レジスタ概要!A1" display="レジスタ概要!A1" xr:uid="{00000000-0004-0000-24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>
    <pageSetUpPr fitToPage="1"/>
  </sheetPr>
  <dimension ref="A1:W29"/>
  <sheetViews>
    <sheetView view="pageBreakPreview" topLeftCell="A4" zoomScale="85" zoomScaleNormal="100" zoomScaleSheetLayoutView="85" workbookViewId="0">
      <selection activeCell="B27" sqref="B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285</v>
      </c>
      <c r="B5" s="57" t="s">
        <v>480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286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287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288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289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290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291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292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293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294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'D0470'!J28+1</f>
        <v>72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S19:W20"/>
    <mergeCell ref="A21:A22"/>
    <mergeCell ref="C23:R23"/>
    <mergeCell ref="B21:B22"/>
    <mergeCell ref="S21:W22"/>
    <mergeCell ref="A23:A24"/>
    <mergeCell ref="B23:B24"/>
    <mergeCell ref="S23:W24"/>
    <mergeCell ref="A19:A20"/>
    <mergeCell ref="B19:B20"/>
    <mergeCell ref="C21:R21"/>
    <mergeCell ref="C19:R19"/>
    <mergeCell ref="A17:A18"/>
    <mergeCell ref="B17:B18"/>
    <mergeCell ref="S17:W18"/>
    <mergeCell ref="G17:J17"/>
    <mergeCell ref="K17:N17"/>
    <mergeCell ref="O17:R17"/>
    <mergeCell ref="A15:A16"/>
    <mergeCell ref="B15:B16"/>
    <mergeCell ref="S15:W16"/>
    <mergeCell ref="S9:W10"/>
    <mergeCell ref="C9:R9"/>
    <mergeCell ref="C11:R11"/>
    <mergeCell ref="S13:W14"/>
    <mergeCell ref="C15:J15"/>
    <mergeCell ref="K15:R15"/>
    <mergeCell ref="S11:W12"/>
    <mergeCell ref="C13:R13"/>
    <mergeCell ref="A9:A10"/>
    <mergeCell ref="B9:B10"/>
    <mergeCell ref="A13:A14"/>
    <mergeCell ref="A11:A12"/>
    <mergeCell ref="B11:B12"/>
    <mergeCell ref="B13:B14"/>
    <mergeCell ref="S3:W4"/>
    <mergeCell ref="A5:A6"/>
    <mergeCell ref="S5:W6"/>
    <mergeCell ref="K5:R5"/>
    <mergeCell ref="A7:A8"/>
    <mergeCell ref="S7:W8"/>
    <mergeCell ref="O7:P7"/>
    <mergeCell ref="Q7:R7"/>
    <mergeCell ref="A3:A4"/>
    <mergeCell ref="B3:B4"/>
    <mergeCell ref="B7:B8"/>
  </mergeCells>
  <phoneticPr fontId="18"/>
  <hyperlinks>
    <hyperlink ref="A1" location="レジスタ概要!A1" display="レジスタ概要!A1" xr:uid="{00000000-0004-0000-25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>
    <pageSetUpPr fitToPage="1"/>
  </sheetPr>
  <dimension ref="A1:W29"/>
  <sheetViews>
    <sheetView view="pageBreakPreview" topLeftCell="A7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295</v>
      </c>
      <c r="B5" s="57" t="s">
        <v>480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296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297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298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299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300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301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302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303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304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'D0480'!J28+1</f>
        <v>73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23:A24"/>
    <mergeCell ref="B23:B24"/>
    <mergeCell ref="S23:W24"/>
    <mergeCell ref="A19:A20"/>
    <mergeCell ref="B19:B20"/>
    <mergeCell ref="S19:W20"/>
    <mergeCell ref="A21:A22"/>
    <mergeCell ref="B21:B22"/>
    <mergeCell ref="S21:W22"/>
    <mergeCell ref="R21:R22"/>
    <mergeCell ref="R23:R24"/>
    <mergeCell ref="A15:A16"/>
    <mergeCell ref="B15:B16"/>
    <mergeCell ref="S15:W16"/>
    <mergeCell ref="A17:A18"/>
    <mergeCell ref="B17:B18"/>
    <mergeCell ref="S17:W18"/>
    <mergeCell ref="A11:A12"/>
    <mergeCell ref="B11:B12"/>
    <mergeCell ref="S11:W12"/>
    <mergeCell ref="A13:A14"/>
    <mergeCell ref="B13:B14"/>
    <mergeCell ref="S13:W14"/>
    <mergeCell ref="C11:R11"/>
    <mergeCell ref="S7:W8"/>
    <mergeCell ref="A9:A10"/>
    <mergeCell ref="B9:B10"/>
    <mergeCell ref="S9:W10"/>
    <mergeCell ref="C9:R9"/>
    <mergeCell ref="G7:J7"/>
    <mergeCell ref="K7:N7"/>
    <mergeCell ref="O7:R7"/>
    <mergeCell ref="A7:A8"/>
    <mergeCell ref="B7:B8"/>
    <mergeCell ref="A3:A4"/>
    <mergeCell ref="B3:B4"/>
    <mergeCell ref="S3:W4"/>
    <mergeCell ref="A5:A6"/>
    <mergeCell ref="S5:W6"/>
    <mergeCell ref="C5:J5"/>
    <mergeCell ref="K5:R5"/>
  </mergeCells>
  <phoneticPr fontId="18"/>
  <hyperlinks>
    <hyperlink ref="A1" location="レジスタ概要!A1" display="レジスタ概要!A1" xr:uid="{00000000-0004-0000-26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>
    <pageSetUpPr fitToPage="1"/>
  </sheetPr>
  <dimension ref="A1:W29"/>
  <sheetViews>
    <sheetView view="pageBreakPreview" zoomScale="85" zoomScaleNormal="100" zoomScaleSheetLayoutView="85" workbookViewId="0">
      <selection activeCell="B27" sqref="B2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305</v>
      </c>
      <c r="B5" s="57" t="s">
        <v>481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425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306</v>
      </c>
      <c r="B7" s="197" t="s">
        <v>386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384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195" t="s">
        <v>307</v>
      </c>
      <c r="B9" s="197" t="s">
        <v>386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384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308</v>
      </c>
      <c r="B11" s="197" t="s">
        <v>386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384</v>
      </c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309</v>
      </c>
      <c r="B13" s="197" t="s">
        <v>386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384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195" t="s">
        <v>310</v>
      </c>
      <c r="B15" s="197" t="s">
        <v>386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384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195" t="s">
        <v>311</v>
      </c>
      <c r="B17" s="197" t="s">
        <v>386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384</v>
      </c>
      <c r="T17" s="207"/>
      <c r="U17" s="207"/>
      <c r="V17" s="207"/>
      <c r="W17" s="208"/>
    </row>
    <row r="18" spans="1:23" ht="22.5" customHeight="1" x14ac:dyDescent="0.15">
      <c r="A18" s="196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195" t="s">
        <v>312</v>
      </c>
      <c r="B19" s="197" t="s">
        <v>386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384</v>
      </c>
      <c r="T19" s="207"/>
      <c r="U19" s="207"/>
      <c r="V19" s="207"/>
      <c r="W19" s="208"/>
    </row>
    <row r="20" spans="1:23" ht="22.5" customHeight="1" x14ac:dyDescent="0.15">
      <c r="A20" s="196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195" t="s">
        <v>313</v>
      </c>
      <c r="B21" s="197" t="s">
        <v>386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384</v>
      </c>
      <c r="T21" s="207"/>
      <c r="U21" s="207"/>
      <c r="V21" s="207"/>
      <c r="W21" s="208"/>
    </row>
    <row r="22" spans="1:23" ht="22.5" customHeight="1" x14ac:dyDescent="0.15">
      <c r="A22" s="196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195" t="s">
        <v>314</v>
      </c>
      <c r="B23" s="197" t="s">
        <v>386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384</v>
      </c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'D0490'!J28+1</f>
        <v>74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A3:A4"/>
    <mergeCell ref="B3:B4"/>
    <mergeCell ref="S3:W4"/>
    <mergeCell ref="A5:A6"/>
    <mergeCell ref="S5:W6"/>
    <mergeCell ref="S7:W8"/>
    <mergeCell ref="K5:R5"/>
    <mergeCell ref="O7:P7"/>
    <mergeCell ref="Q7:R7"/>
    <mergeCell ref="A7:A8"/>
    <mergeCell ref="B7:B8"/>
    <mergeCell ref="A9:A10"/>
    <mergeCell ref="B9:B10"/>
    <mergeCell ref="C9:R9"/>
    <mergeCell ref="S9:W10"/>
    <mergeCell ref="S11:W12"/>
    <mergeCell ref="A15:A16"/>
    <mergeCell ref="A13:A14"/>
    <mergeCell ref="B13:B14"/>
    <mergeCell ref="S13:W14"/>
    <mergeCell ref="C11:R11"/>
    <mergeCell ref="C13:R13"/>
    <mergeCell ref="A11:A12"/>
    <mergeCell ref="B11:B12"/>
    <mergeCell ref="S17:W18"/>
    <mergeCell ref="K15:R15"/>
    <mergeCell ref="G17:J17"/>
    <mergeCell ref="K17:N17"/>
    <mergeCell ref="O17:R17"/>
    <mergeCell ref="C15:J15"/>
    <mergeCell ref="C23:R23"/>
    <mergeCell ref="A23:A24"/>
    <mergeCell ref="B23:B24"/>
    <mergeCell ref="S23:W24"/>
    <mergeCell ref="B15:B16"/>
    <mergeCell ref="S19:W20"/>
    <mergeCell ref="A21:A22"/>
    <mergeCell ref="S21:W22"/>
    <mergeCell ref="C19:R19"/>
    <mergeCell ref="C21:R21"/>
    <mergeCell ref="A19:A20"/>
    <mergeCell ref="B19:B20"/>
    <mergeCell ref="B21:B22"/>
    <mergeCell ref="S15:W16"/>
    <mergeCell ref="A17:A18"/>
    <mergeCell ref="B17:B18"/>
  </mergeCells>
  <phoneticPr fontId="18"/>
  <hyperlinks>
    <hyperlink ref="A1" location="レジスタ概要!A1" display="レジスタ概要!A1" xr:uid="{00000000-0004-0000-27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>
    <pageSetUpPr fitToPage="1"/>
  </sheetPr>
  <dimension ref="A1:W29"/>
  <sheetViews>
    <sheetView view="pageBreakPreview" topLeftCell="A4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315</v>
      </c>
      <c r="B5" s="57" t="s">
        <v>538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384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195" t="s">
        <v>316</v>
      </c>
      <c r="B7" s="197" t="s">
        <v>386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384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195" t="s">
        <v>317</v>
      </c>
      <c r="B9" s="197" t="s">
        <v>386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318</v>
      </c>
      <c r="B11" s="197" t="s">
        <v>386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384</v>
      </c>
      <c r="T11" s="207"/>
      <c r="U11" s="207"/>
      <c r="V11" s="207"/>
      <c r="W11" s="208"/>
    </row>
    <row r="12" spans="1:23" ht="22.5" customHeight="1" x14ac:dyDescent="0.15">
      <c r="A12" s="196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195" t="s">
        <v>319</v>
      </c>
      <c r="B13" s="197" t="s">
        <v>386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195" t="s">
        <v>320</v>
      </c>
      <c r="B15" s="197" t="s">
        <v>386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195" t="s">
        <v>321</v>
      </c>
      <c r="B17" s="197" t="s">
        <v>386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195" t="s">
        <v>322</v>
      </c>
      <c r="B19" s="197" t="s">
        <v>386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195" t="s">
        <v>323</v>
      </c>
      <c r="B21" s="197" t="s">
        <v>386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195" t="s">
        <v>324</v>
      </c>
      <c r="B23" s="197" t="s">
        <v>386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'D0500'!J28+1</f>
        <v>75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3:A4"/>
    <mergeCell ref="B3:B4"/>
    <mergeCell ref="S3:W4"/>
    <mergeCell ref="A5:A6"/>
    <mergeCell ref="S5:W6"/>
    <mergeCell ref="C5:J5"/>
    <mergeCell ref="K5:R5"/>
    <mergeCell ref="A7:A8"/>
    <mergeCell ref="B7:B8"/>
    <mergeCell ref="S7:W8"/>
    <mergeCell ref="A9:A10"/>
    <mergeCell ref="B9:B10"/>
    <mergeCell ref="S9:W10"/>
    <mergeCell ref="G7:J7"/>
    <mergeCell ref="K7:N7"/>
    <mergeCell ref="O7:R7"/>
    <mergeCell ref="C9:R9"/>
    <mergeCell ref="S11:W12"/>
    <mergeCell ref="A13:A14"/>
    <mergeCell ref="B13:B14"/>
    <mergeCell ref="S13:W14"/>
    <mergeCell ref="C11:R11"/>
    <mergeCell ref="A11:A12"/>
    <mergeCell ref="B11:B12"/>
    <mergeCell ref="S15:W16"/>
    <mergeCell ref="A17:A18"/>
    <mergeCell ref="B17:B18"/>
    <mergeCell ref="S17:W18"/>
    <mergeCell ref="A15:A16"/>
    <mergeCell ref="B15:B16"/>
    <mergeCell ref="R23:R24"/>
    <mergeCell ref="A23:A24"/>
    <mergeCell ref="B23:B24"/>
    <mergeCell ref="S23:W24"/>
    <mergeCell ref="S19:W20"/>
    <mergeCell ref="A21:A22"/>
    <mergeCell ref="B21:B22"/>
    <mergeCell ref="S21:W22"/>
    <mergeCell ref="R21:R22"/>
    <mergeCell ref="A19:A20"/>
    <mergeCell ref="B19:B20"/>
  </mergeCells>
  <phoneticPr fontId="18"/>
  <hyperlinks>
    <hyperlink ref="A1" location="レジスタ概要!A1" display="レジスタ概要!A1" xr:uid="{00000000-0004-0000-28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>
    <pageSetUpPr fitToPage="1"/>
  </sheetPr>
  <dimension ref="A1:W29"/>
  <sheetViews>
    <sheetView view="pageBreakPreview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519</v>
      </c>
      <c r="B5" s="57" t="s">
        <v>560</v>
      </c>
      <c r="C5" s="68"/>
      <c r="D5" s="84"/>
      <c r="E5" s="84"/>
      <c r="F5" s="84"/>
      <c r="G5" s="84"/>
      <c r="H5" s="84"/>
      <c r="I5" s="84"/>
      <c r="J5" s="84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166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520</v>
      </c>
      <c r="B7" s="197" t="s">
        <v>379</v>
      </c>
      <c r="C7" s="55"/>
      <c r="D7" s="56"/>
      <c r="E7" s="56"/>
      <c r="F7" s="56"/>
      <c r="G7" s="56"/>
      <c r="H7" s="56"/>
      <c r="I7" s="56"/>
      <c r="J7" s="56"/>
      <c r="K7" s="56"/>
      <c r="L7" s="56"/>
      <c r="M7" s="56"/>
      <c r="N7" s="103"/>
      <c r="O7" s="199" t="s">
        <v>396</v>
      </c>
      <c r="P7" s="238"/>
      <c r="Q7" s="199" t="s">
        <v>395</v>
      </c>
      <c r="R7" s="238"/>
      <c r="S7" s="199" t="s">
        <v>166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226" t="s">
        <v>521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166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522</v>
      </c>
      <c r="B11" s="197" t="s">
        <v>379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523</v>
      </c>
      <c r="B13" s="197" t="s">
        <v>379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166</v>
      </c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524</v>
      </c>
      <c r="B15" s="197" t="s">
        <v>379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166</v>
      </c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525</v>
      </c>
      <c r="B17" s="197" t="s">
        <v>379</v>
      </c>
      <c r="C17" s="55"/>
      <c r="D17" s="56"/>
      <c r="E17" s="56"/>
      <c r="F17" s="56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166</v>
      </c>
      <c r="T17" s="207"/>
      <c r="U17" s="207"/>
      <c r="V17" s="207"/>
      <c r="W17" s="208"/>
    </row>
    <row r="18" spans="1:23" ht="22.5" customHeight="1" x14ac:dyDescent="0.15">
      <c r="A18" s="209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526</v>
      </c>
      <c r="B19" s="197" t="s">
        <v>379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166</v>
      </c>
      <c r="T19" s="207"/>
      <c r="U19" s="207"/>
      <c r="V19" s="207"/>
      <c r="W19" s="208"/>
    </row>
    <row r="20" spans="1:23" ht="22.5" customHeight="1" x14ac:dyDescent="0.15">
      <c r="A20" s="209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527</v>
      </c>
      <c r="B21" s="197" t="s">
        <v>379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166</v>
      </c>
      <c r="T21" s="207"/>
      <c r="U21" s="207"/>
      <c r="V21" s="207"/>
      <c r="W21" s="208"/>
    </row>
    <row r="22" spans="1:23" ht="22.5" customHeight="1" x14ac:dyDescent="0.15">
      <c r="A22" s="209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528</v>
      </c>
      <c r="B23" s="197" t="s">
        <v>379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166</v>
      </c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'D0510'!J28+1</f>
        <v>76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S3:W4"/>
    <mergeCell ref="A5:A6"/>
    <mergeCell ref="S5:W6"/>
    <mergeCell ref="A7:A8"/>
    <mergeCell ref="B7:B8"/>
    <mergeCell ref="S7:W8"/>
    <mergeCell ref="O7:P7"/>
    <mergeCell ref="Q7:R7"/>
    <mergeCell ref="K5:R5"/>
    <mergeCell ref="A3:A4"/>
    <mergeCell ref="B3:B4"/>
    <mergeCell ref="S9:W10"/>
    <mergeCell ref="A11:A12"/>
    <mergeCell ref="B11:B12"/>
    <mergeCell ref="S11:W12"/>
    <mergeCell ref="S13:W14"/>
    <mergeCell ref="C9:R9"/>
    <mergeCell ref="C11:R11"/>
    <mergeCell ref="C13:R13"/>
    <mergeCell ref="A13:A14"/>
    <mergeCell ref="B13:B14"/>
    <mergeCell ref="A9:A10"/>
    <mergeCell ref="B9:B10"/>
    <mergeCell ref="A15:A16"/>
    <mergeCell ref="B15:B16"/>
    <mergeCell ref="S15:W16"/>
    <mergeCell ref="A17:A18"/>
    <mergeCell ref="B17:B18"/>
    <mergeCell ref="K15:R15"/>
    <mergeCell ref="C15:J15"/>
    <mergeCell ref="A23:A24"/>
    <mergeCell ref="B23:B24"/>
    <mergeCell ref="S23:W24"/>
    <mergeCell ref="S17:W18"/>
    <mergeCell ref="A19:A20"/>
    <mergeCell ref="B19:B20"/>
    <mergeCell ref="S19:W20"/>
    <mergeCell ref="A21:A22"/>
    <mergeCell ref="B21:B22"/>
    <mergeCell ref="O17:R17"/>
    <mergeCell ref="C23:R23"/>
    <mergeCell ref="K17:N17"/>
    <mergeCell ref="G17:J17"/>
    <mergeCell ref="S21:W22"/>
    <mergeCell ref="C19:R19"/>
    <mergeCell ref="C21:R21"/>
  </mergeCells>
  <phoneticPr fontId="18"/>
  <hyperlinks>
    <hyperlink ref="A1" location="レジスタ概要!A1" display="レジスタ概要!A1" xr:uid="{00000000-0004-0000-29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>
    <pageSetUpPr fitToPage="1"/>
  </sheetPr>
  <dimension ref="A1:W29"/>
  <sheetViews>
    <sheetView view="pageBreakPreview" topLeftCell="A4" zoomScale="85" zoomScaleNormal="100" zoomScaleSheetLayoutView="85" workbookViewId="0">
      <selection activeCell="B26" sqref="B26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509</v>
      </c>
      <c r="B5" s="57" t="s">
        <v>561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166</v>
      </c>
      <c r="T5" s="200"/>
      <c r="U5" s="200"/>
      <c r="V5" s="200"/>
      <c r="W5" s="201"/>
    </row>
    <row r="6" spans="1:23" ht="22.5" customHeight="1" x14ac:dyDescent="0.15">
      <c r="A6" s="209"/>
      <c r="B6" s="67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510</v>
      </c>
      <c r="B7" s="197" t="s">
        <v>379</v>
      </c>
      <c r="C7" s="55"/>
      <c r="D7" s="56"/>
      <c r="E7" s="56"/>
      <c r="F7" s="56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166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511</v>
      </c>
      <c r="B9" s="197" t="s">
        <v>379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166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512</v>
      </c>
      <c r="B11" s="197" t="s">
        <v>379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166</v>
      </c>
      <c r="T11" s="207"/>
      <c r="U11" s="207"/>
      <c r="V11" s="207"/>
      <c r="W11" s="208"/>
    </row>
    <row r="12" spans="1:23" ht="22.5" customHeight="1" x14ac:dyDescent="0.15">
      <c r="A12" s="209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513</v>
      </c>
      <c r="B13" s="197" t="s">
        <v>379</v>
      </c>
      <c r="C13" s="55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3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226" t="s">
        <v>514</v>
      </c>
      <c r="B15" s="197" t="s">
        <v>379</v>
      </c>
      <c r="C15" s="55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3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226" t="s">
        <v>515</v>
      </c>
      <c r="B17" s="197" t="s">
        <v>379</v>
      </c>
      <c r="C17" s="55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3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226" t="s">
        <v>516</v>
      </c>
      <c r="B19" s="197" t="s">
        <v>379</v>
      </c>
      <c r="C19" s="55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3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226" t="s">
        <v>517</v>
      </c>
      <c r="B21" s="197" t="s">
        <v>379</v>
      </c>
      <c r="C21" s="55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226" t="s">
        <v>518</v>
      </c>
      <c r="B23" s="197" t="s">
        <v>379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'D0520'!J28+1</f>
        <v>77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A3:A4"/>
    <mergeCell ref="B3:B4"/>
    <mergeCell ref="S3:W4"/>
    <mergeCell ref="A5:A6"/>
    <mergeCell ref="S5:W6"/>
    <mergeCell ref="C5:J5"/>
    <mergeCell ref="K5:R5"/>
    <mergeCell ref="S9:W10"/>
    <mergeCell ref="A11:A12"/>
    <mergeCell ref="B11:B12"/>
    <mergeCell ref="S11:W12"/>
    <mergeCell ref="A7:A8"/>
    <mergeCell ref="B7:B8"/>
    <mergeCell ref="S7:W8"/>
    <mergeCell ref="G7:J7"/>
    <mergeCell ref="K7:N7"/>
    <mergeCell ref="O7:R7"/>
    <mergeCell ref="C9:R9"/>
    <mergeCell ref="C11:R11"/>
    <mergeCell ref="A9:A10"/>
    <mergeCell ref="B9:B10"/>
    <mergeCell ref="S17:W18"/>
    <mergeCell ref="A19:A20"/>
    <mergeCell ref="B19:B20"/>
    <mergeCell ref="S19:W20"/>
    <mergeCell ref="A13:A14"/>
    <mergeCell ref="B13:B14"/>
    <mergeCell ref="S13:W14"/>
    <mergeCell ref="A15:A16"/>
    <mergeCell ref="B15:B16"/>
    <mergeCell ref="S15:W16"/>
    <mergeCell ref="A17:A18"/>
    <mergeCell ref="B17:B18"/>
    <mergeCell ref="S21:W22"/>
    <mergeCell ref="A23:A24"/>
    <mergeCell ref="B23:B24"/>
    <mergeCell ref="S23:W24"/>
    <mergeCell ref="R21:R22"/>
    <mergeCell ref="R23:R24"/>
    <mergeCell ref="A21:A22"/>
    <mergeCell ref="B21:B22"/>
  </mergeCells>
  <phoneticPr fontId="18"/>
  <hyperlinks>
    <hyperlink ref="A1" location="レジスタ概要!A1" display="レジスタ概要!A1" xr:uid="{00000000-0004-0000-2A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>
    <pageSetUpPr fitToPage="1"/>
  </sheetPr>
  <dimension ref="A1:W29"/>
  <sheetViews>
    <sheetView view="pageBreakPreview" topLeftCell="A4" zoomScale="85" zoomScaleNormal="100" zoomScaleSheetLayoutView="85" workbookViewId="0">
      <selection activeCell="A5" sqref="A5:R22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713</v>
      </c>
      <c r="B5" s="140" t="s">
        <v>712</v>
      </c>
      <c r="C5" s="141"/>
      <c r="D5" s="142"/>
      <c r="E5" s="142"/>
      <c r="F5" s="142"/>
      <c r="G5" s="142"/>
      <c r="H5" s="142"/>
      <c r="I5" s="142"/>
      <c r="J5" s="142"/>
      <c r="K5" s="243" t="s">
        <v>424</v>
      </c>
      <c r="L5" s="241"/>
      <c r="M5" s="241"/>
      <c r="N5" s="241"/>
      <c r="O5" s="241"/>
      <c r="P5" s="241"/>
      <c r="Q5" s="241"/>
      <c r="R5" s="238"/>
      <c r="S5" s="199" t="s">
        <v>166</v>
      </c>
      <c r="T5" s="200"/>
      <c r="U5" s="200"/>
      <c r="V5" s="200"/>
      <c r="W5" s="201"/>
    </row>
    <row r="6" spans="1:23" ht="22.5" customHeight="1" x14ac:dyDescent="0.15">
      <c r="A6" s="209"/>
      <c r="B6" s="143" t="s">
        <v>385</v>
      </c>
      <c r="C6" s="110"/>
      <c r="D6" s="111"/>
      <c r="E6" s="111"/>
      <c r="F6" s="111"/>
      <c r="G6" s="112"/>
      <c r="H6" s="111"/>
      <c r="I6" s="111"/>
      <c r="J6" s="97"/>
      <c r="K6" s="41"/>
      <c r="L6" s="113">
        <v>1</v>
      </c>
      <c r="M6" s="113">
        <v>0</v>
      </c>
      <c r="N6" s="114">
        <v>1</v>
      </c>
      <c r="O6" s="41"/>
      <c r="P6" s="113">
        <v>1</v>
      </c>
      <c r="Q6" s="113">
        <v>0</v>
      </c>
      <c r="R6" s="114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714</v>
      </c>
      <c r="B7" s="197" t="s">
        <v>379</v>
      </c>
      <c r="C7" s="138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5"/>
      <c r="O7" s="199" t="s">
        <v>396</v>
      </c>
      <c r="P7" s="238"/>
      <c r="Q7" s="199" t="s">
        <v>395</v>
      </c>
      <c r="R7" s="238"/>
      <c r="S7" s="199" t="s">
        <v>166</v>
      </c>
      <c r="T7" s="200"/>
      <c r="U7" s="200"/>
      <c r="V7" s="200"/>
      <c r="W7" s="201"/>
    </row>
    <row r="8" spans="1:23" ht="22.5" customHeight="1" x14ac:dyDescent="0.15">
      <c r="A8" s="209"/>
      <c r="B8" s="198"/>
      <c r="C8" s="94"/>
      <c r="D8" s="95"/>
      <c r="E8" s="95"/>
      <c r="F8" s="95"/>
      <c r="G8" s="96"/>
      <c r="H8" s="95"/>
      <c r="I8" s="95"/>
      <c r="J8" s="95"/>
      <c r="K8" s="95"/>
      <c r="L8" s="96"/>
      <c r="M8" s="95"/>
      <c r="N8" s="95"/>
      <c r="O8" s="91"/>
      <c r="P8" s="92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226" t="s">
        <v>715</v>
      </c>
      <c r="B9" s="197" t="s">
        <v>379</v>
      </c>
      <c r="C9" s="199" t="s">
        <v>380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199" t="s">
        <v>166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7</v>
      </c>
      <c r="G10" s="41"/>
      <c r="H10" s="59">
        <v>1</v>
      </c>
      <c r="I10" s="60">
        <v>0</v>
      </c>
      <c r="J10" s="101">
        <v>6</v>
      </c>
      <c r="K10" s="41"/>
      <c r="L10" s="59">
        <v>1</v>
      </c>
      <c r="M10" s="60">
        <v>0</v>
      </c>
      <c r="N10" s="101">
        <v>5</v>
      </c>
      <c r="O10" s="41"/>
      <c r="P10" s="59">
        <v>1</v>
      </c>
      <c r="Q10" s="60">
        <v>0</v>
      </c>
      <c r="R10" s="101">
        <v>4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716</v>
      </c>
      <c r="B11" s="197" t="s">
        <v>379</v>
      </c>
      <c r="C11" s="199" t="s">
        <v>380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199" t="s">
        <v>166</v>
      </c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717</v>
      </c>
      <c r="B13" s="197" t="s">
        <v>379</v>
      </c>
      <c r="C13" s="199" t="s">
        <v>387</v>
      </c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38"/>
      <c r="S13" s="199" t="s">
        <v>166</v>
      </c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0">
        <v>1</v>
      </c>
      <c r="E14" s="98">
        <v>0</v>
      </c>
      <c r="F14" s="99">
        <v>3</v>
      </c>
      <c r="G14" s="41"/>
      <c r="H14" s="59">
        <v>1</v>
      </c>
      <c r="I14" s="60">
        <v>0</v>
      </c>
      <c r="J14" s="101">
        <v>2</v>
      </c>
      <c r="K14" s="41"/>
      <c r="L14" s="59">
        <v>1</v>
      </c>
      <c r="M14" s="60">
        <v>0</v>
      </c>
      <c r="N14" s="101">
        <v>1</v>
      </c>
      <c r="O14" s="41"/>
      <c r="P14" s="59">
        <v>1</v>
      </c>
      <c r="Q14" s="60">
        <v>0</v>
      </c>
      <c r="R14" s="101">
        <v>0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718</v>
      </c>
      <c r="B15" s="197" t="s">
        <v>379</v>
      </c>
      <c r="C15" s="230" t="s">
        <v>398</v>
      </c>
      <c r="D15" s="231"/>
      <c r="E15" s="231"/>
      <c r="F15" s="231"/>
      <c r="G15" s="231"/>
      <c r="H15" s="231"/>
      <c r="I15" s="231"/>
      <c r="J15" s="232"/>
      <c r="K15" s="230" t="s">
        <v>399</v>
      </c>
      <c r="L15" s="231"/>
      <c r="M15" s="231"/>
      <c r="N15" s="231"/>
      <c r="O15" s="231"/>
      <c r="P15" s="231"/>
      <c r="Q15" s="231"/>
      <c r="R15" s="232"/>
      <c r="S15" s="199" t="s">
        <v>166</v>
      </c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59">
        <v>1</v>
      </c>
      <c r="E16" s="60">
        <v>0</v>
      </c>
      <c r="F16" s="101">
        <v>1</v>
      </c>
      <c r="G16" s="41"/>
      <c r="H16" s="59">
        <v>1</v>
      </c>
      <c r="I16" s="60">
        <v>0</v>
      </c>
      <c r="J16" s="100">
        <v>0</v>
      </c>
      <c r="K16" s="41"/>
      <c r="L16" s="59">
        <v>1</v>
      </c>
      <c r="M16" s="60">
        <v>0</v>
      </c>
      <c r="N16" s="101">
        <v>1</v>
      </c>
      <c r="O16" s="41"/>
      <c r="P16" s="59">
        <v>1</v>
      </c>
      <c r="Q16" s="60">
        <v>0</v>
      </c>
      <c r="R16" s="100">
        <v>0</v>
      </c>
      <c r="S16" s="202"/>
      <c r="T16" s="203"/>
      <c r="U16" s="203"/>
      <c r="V16" s="203"/>
      <c r="W16" s="204"/>
    </row>
    <row r="17" spans="1:23" ht="22.5" customHeight="1" x14ac:dyDescent="0.15">
      <c r="A17" s="226" t="s">
        <v>719</v>
      </c>
      <c r="B17" s="197" t="s">
        <v>379</v>
      </c>
      <c r="C17" s="138"/>
      <c r="D17" s="134"/>
      <c r="E17" s="134"/>
      <c r="F17" s="134"/>
      <c r="G17" s="199" t="s">
        <v>453</v>
      </c>
      <c r="H17" s="200"/>
      <c r="I17" s="200"/>
      <c r="J17" s="206"/>
      <c r="K17" s="199" t="s">
        <v>454</v>
      </c>
      <c r="L17" s="200"/>
      <c r="M17" s="200"/>
      <c r="N17" s="206"/>
      <c r="O17" s="199" t="s">
        <v>455</v>
      </c>
      <c r="P17" s="200"/>
      <c r="Q17" s="200"/>
      <c r="R17" s="206"/>
      <c r="S17" s="205" t="s">
        <v>166</v>
      </c>
      <c r="T17" s="207"/>
      <c r="U17" s="207"/>
      <c r="V17" s="207"/>
      <c r="W17" s="208"/>
    </row>
    <row r="18" spans="1:23" ht="22.5" customHeight="1" x14ac:dyDescent="0.15">
      <c r="A18" s="209"/>
      <c r="B18" s="198"/>
      <c r="C18" s="94"/>
      <c r="D18" s="95"/>
      <c r="E18" s="95"/>
      <c r="F18" s="95"/>
      <c r="G18" s="41"/>
      <c r="H18" s="59">
        <v>1</v>
      </c>
      <c r="I18" s="60">
        <v>0</v>
      </c>
      <c r="J18" s="100">
        <v>0</v>
      </c>
      <c r="K18" s="41"/>
      <c r="L18" s="59">
        <v>1</v>
      </c>
      <c r="M18" s="60">
        <v>0</v>
      </c>
      <c r="N18" s="100">
        <v>0</v>
      </c>
      <c r="O18" s="41"/>
      <c r="P18" s="59">
        <v>1</v>
      </c>
      <c r="Q18" s="60">
        <v>0</v>
      </c>
      <c r="R18" s="100">
        <v>0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720</v>
      </c>
      <c r="B19" s="197" t="s">
        <v>379</v>
      </c>
      <c r="C19" s="199" t="s">
        <v>400</v>
      </c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38"/>
      <c r="S19" s="205" t="s">
        <v>166</v>
      </c>
      <c r="T19" s="207"/>
      <c r="U19" s="207"/>
      <c r="V19" s="207"/>
      <c r="W19" s="208"/>
    </row>
    <row r="20" spans="1:23" ht="22.5" customHeight="1" x14ac:dyDescent="0.15">
      <c r="A20" s="209"/>
      <c r="B20" s="198"/>
      <c r="C20" s="41"/>
      <c r="D20" s="60">
        <v>1</v>
      </c>
      <c r="E20" s="98">
        <v>0</v>
      </c>
      <c r="F20" s="99">
        <v>3</v>
      </c>
      <c r="G20" s="41"/>
      <c r="H20" s="59">
        <v>1</v>
      </c>
      <c r="I20" s="60">
        <v>0</v>
      </c>
      <c r="J20" s="101">
        <v>2</v>
      </c>
      <c r="K20" s="41"/>
      <c r="L20" s="59">
        <v>1</v>
      </c>
      <c r="M20" s="60">
        <v>0</v>
      </c>
      <c r="N20" s="101">
        <v>1</v>
      </c>
      <c r="O20" s="41"/>
      <c r="P20" s="59">
        <v>1</v>
      </c>
      <c r="Q20" s="60">
        <v>0</v>
      </c>
      <c r="R20" s="101">
        <v>0</v>
      </c>
      <c r="S20" s="202"/>
      <c r="T20" s="203"/>
      <c r="U20" s="203"/>
      <c r="V20" s="203"/>
      <c r="W20" s="204"/>
    </row>
    <row r="21" spans="1:23" ht="22.5" customHeight="1" x14ac:dyDescent="0.15">
      <c r="A21" s="226" t="s">
        <v>721</v>
      </c>
      <c r="B21" s="197" t="s">
        <v>379</v>
      </c>
      <c r="C21" s="199" t="s">
        <v>401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38"/>
      <c r="S21" s="205" t="s">
        <v>166</v>
      </c>
      <c r="T21" s="207"/>
      <c r="U21" s="207"/>
      <c r="V21" s="207"/>
      <c r="W21" s="208"/>
    </row>
    <row r="22" spans="1:23" ht="22.5" customHeight="1" x14ac:dyDescent="0.15">
      <c r="A22" s="209"/>
      <c r="B22" s="198"/>
      <c r="C22" s="41"/>
      <c r="D22" s="60">
        <v>1</v>
      </c>
      <c r="E22" s="98">
        <v>0</v>
      </c>
      <c r="F22" s="99">
        <v>3</v>
      </c>
      <c r="G22" s="41"/>
      <c r="H22" s="59">
        <v>1</v>
      </c>
      <c r="I22" s="60">
        <v>0</v>
      </c>
      <c r="J22" s="101">
        <v>2</v>
      </c>
      <c r="K22" s="41"/>
      <c r="L22" s="59">
        <v>1</v>
      </c>
      <c r="M22" s="60">
        <v>0</v>
      </c>
      <c r="N22" s="101">
        <v>1</v>
      </c>
      <c r="O22" s="41"/>
      <c r="P22" s="59">
        <v>1</v>
      </c>
      <c r="Q22" s="60">
        <v>0</v>
      </c>
      <c r="R22" s="101">
        <v>0</v>
      </c>
      <c r="S22" s="202"/>
      <c r="T22" s="203"/>
      <c r="U22" s="203"/>
      <c r="V22" s="203"/>
      <c r="W22" s="204"/>
    </row>
    <row r="23" spans="1:23" ht="22.5" customHeight="1" x14ac:dyDescent="0.15">
      <c r="A23" s="226" t="s">
        <v>722</v>
      </c>
      <c r="B23" s="197" t="s">
        <v>379</v>
      </c>
      <c r="C23" s="199" t="s">
        <v>388</v>
      </c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38"/>
      <c r="S23" s="199" t="s">
        <v>166</v>
      </c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60">
        <v>1</v>
      </c>
      <c r="E24" s="98">
        <v>0</v>
      </c>
      <c r="F24" s="99">
        <v>3</v>
      </c>
      <c r="G24" s="41"/>
      <c r="H24" s="59">
        <v>1</v>
      </c>
      <c r="I24" s="60">
        <v>0</v>
      </c>
      <c r="J24" s="101">
        <v>2</v>
      </c>
      <c r="K24" s="41"/>
      <c r="L24" s="59">
        <v>1</v>
      </c>
      <c r="M24" s="60">
        <v>0</v>
      </c>
      <c r="N24" s="101">
        <v>1</v>
      </c>
      <c r="O24" s="41"/>
      <c r="P24" s="59">
        <v>1</v>
      </c>
      <c r="Q24" s="60">
        <v>0</v>
      </c>
      <c r="R24" s="101">
        <v>0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85" t="s">
        <v>459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'D0530'!J28+1</f>
        <v>78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6">
    <mergeCell ref="A9:A10"/>
    <mergeCell ref="B9:B10"/>
    <mergeCell ref="C9:R9"/>
    <mergeCell ref="S9:W10"/>
    <mergeCell ref="A3:A4"/>
    <mergeCell ref="B3:B4"/>
    <mergeCell ref="S3:W4"/>
    <mergeCell ref="A5:A6"/>
    <mergeCell ref="K5:R5"/>
    <mergeCell ref="S5:W6"/>
    <mergeCell ref="A7:A8"/>
    <mergeCell ref="B7:B8"/>
    <mergeCell ref="O7:P7"/>
    <mergeCell ref="Q7:R7"/>
    <mergeCell ref="S7:W8"/>
    <mergeCell ref="S11:W12"/>
    <mergeCell ref="A13:A14"/>
    <mergeCell ref="B13:B14"/>
    <mergeCell ref="C13:R13"/>
    <mergeCell ref="S13:W14"/>
    <mergeCell ref="K17:N17"/>
    <mergeCell ref="O17:R17"/>
    <mergeCell ref="A11:A12"/>
    <mergeCell ref="B11:B12"/>
    <mergeCell ref="C11:R11"/>
    <mergeCell ref="A15:A16"/>
    <mergeCell ref="B15:B16"/>
    <mergeCell ref="C15:J15"/>
    <mergeCell ref="K15:R15"/>
    <mergeCell ref="G17:J17"/>
    <mergeCell ref="S15:W16"/>
    <mergeCell ref="A23:A24"/>
    <mergeCell ref="B23:B24"/>
    <mergeCell ref="C23:R23"/>
    <mergeCell ref="S23:W24"/>
    <mergeCell ref="S17:W18"/>
    <mergeCell ref="A19:A20"/>
    <mergeCell ref="B19:B20"/>
    <mergeCell ref="C19:R19"/>
    <mergeCell ref="S19:W20"/>
    <mergeCell ref="A21:A22"/>
    <mergeCell ref="B21:B22"/>
    <mergeCell ref="C21:R21"/>
    <mergeCell ref="S21:W22"/>
    <mergeCell ref="A17:A18"/>
    <mergeCell ref="B17:B18"/>
  </mergeCells>
  <phoneticPr fontId="18"/>
  <hyperlinks>
    <hyperlink ref="A1" location="レジスタ概要!A1" display="レジスタ概要!A1" xr:uid="{00000000-0004-0000-2B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>
    <pageSetUpPr fitToPage="1"/>
  </sheetPr>
  <dimension ref="A1:W29"/>
  <sheetViews>
    <sheetView view="pageBreakPreview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723</v>
      </c>
      <c r="B5" s="140" t="s">
        <v>733</v>
      </c>
      <c r="C5" s="230" t="s">
        <v>402</v>
      </c>
      <c r="D5" s="231"/>
      <c r="E5" s="231"/>
      <c r="F5" s="231"/>
      <c r="G5" s="231"/>
      <c r="H5" s="231"/>
      <c r="I5" s="231"/>
      <c r="J5" s="232"/>
      <c r="K5" s="230" t="s">
        <v>403</v>
      </c>
      <c r="L5" s="231"/>
      <c r="M5" s="231"/>
      <c r="N5" s="231"/>
      <c r="O5" s="231"/>
      <c r="P5" s="231"/>
      <c r="Q5" s="231"/>
      <c r="R5" s="232"/>
      <c r="S5" s="199" t="s">
        <v>166</v>
      </c>
      <c r="T5" s="200"/>
      <c r="U5" s="200"/>
      <c r="V5" s="200"/>
      <c r="W5" s="201"/>
    </row>
    <row r="6" spans="1:23" ht="22.5" customHeight="1" x14ac:dyDescent="0.15">
      <c r="A6" s="209"/>
      <c r="B6" s="143" t="s">
        <v>385</v>
      </c>
      <c r="C6" s="41"/>
      <c r="D6" s="59">
        <v>1</v>
      </c>
      <c r="E6" s="60">
        <v>0</v>
      </c>
      <c r="F6" s="101">
        <v>1</v>
      </c>
      <c r="G6" s="41"/>
      <c r="H6" s="59">
        <v>1</v>
      </c>
      <c r="I6" s="60">
        <v>0</v>
      </c>
      <c r="J6" s="100">
        <v>0</v>
      </c>
      <c r="K6" s="41"/>
      <c r="L6" s="59">
        <v>1</v>
      </c>
      <c r="M6" s="60">
        <v>0</v>
      </c>
      <c r="N6" s="101">
        <v>1</v>
      </c>
      <c r="O6" s="41"/>
      <c r="P6" s="59">
        <v>1</v>
      </c>
      <c r="Q6" s="60">
        <v>0</v>
      </c>
      <c r="R6" s="100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724</v>
      </c>
      <c r="B7" s="197" t="s">
        <v>379</v>
      </c>
      <c r="C7" s="138"/>
      <c r="D7" s="134"/>
      <c r="E7" s="134"/>
      <c r="F7" s="134"/>
      <c r="G7" s="199" t="s">
        <v>456</v>
      </c>
      <c r="H7" s="200"/>
      <c r="I7" s="200"/>
      <c r="J7" s="206"/>
      <c r="K7" s="199" t="s">
        <v>457</v>
      </c>
      <c r="L7" s="200"/>
      <c r="M7" s="200"/>
      <c r="N7" s="206"/>
      <c r="O7" s="199" t="s">
        <v>458</v>
      </c>
      <c r="P7" s="200"/>
      <c r="Q7" s="200"/>
      <c r="R7" s="206"/>
      <c r="S7" s="205" t="s">
        <v>166</v>
      </c>
      <c r="T7" s="207"/>
      <c r="U7" s="207"/>
      <c r="V7" s="207"/>
      <c r="W7" s="208"/>
    </row>
    <row r="8" spans="1:23" ht="22.5" customHeight="1" x14ac:dyDescent="0.15">
      <c r="A8" s="209"/>
      <c r="B8" s="198"/>
      <c r="C8" s="94"/>
      <c r="D8" s="95"/>
      <c r="E8" s="95"/>
      <c r="F8" s="95"/>
      <c r="G8" s="41"/>
      <c r="H8" s="59">
        <v>1</v>
      </c>
      <c r="I8" s="60">
        <v>0</v>
      </c>
      <c r="J8" s="100">
        <v>0</v>
      </c>
      <c r="K8" s="41"/>
      <c r="L8" s="59">
        <v>1</v>
      </c>
      <c r="M8" s="60">
        <v>0</v>
      </c>
      <c r="N8" s="100">
        <v>0</v>
      </c>
      <c r="O8" s="41"/>
      <c r="P8" s="59">
        <v>1</v>
      </c>
      <c r="Q8" s="60">
        <v>0</v>
      </c>
      <c r="R8" s="100">
        <v>0</v>
      </c>
      <c r="S8" s="202"/>
      <c r="T8" s="203"/>
      <c r="U8" s="203"/>
      <c r="V8" s="203"/>
      <c r="W8" s="204"/>
    </row>
    <row r="9" spans="1:23" ht="22.5" customHeight="1" x14ac:dyDescent="0.15">
      <c r="A9" s="226" t="s">
        <v>725</v>
      </c>
      <c r="B9" s="197" t="s">
        <v>379</v>
      </c>
      <c r="C9" s="199" t="s">
        <v>404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166</v>
      </c>
      <c r="T9" s="207"/>
      <c r="U9" s="207"/>
      <c r="V9" s="207"/>
      <c r="W9" s="208"/>
    </row>
    <row r="10" spans="1:23" ht="22.5" customHeight="1" x14ac:dyDescent="0.15">
      <c r="A10" s="209"/>
      <c r="B10" s="198"/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726</v>
      </c>
      <c r="B11" s="197" t="s">
        <v>379</v>
      </c>
      <c r="C11" s="199" t="s">
        <v>405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38"/>
      <c r="S11" s="205" t="s">
        <v>166</v>
      </c>
      <c r="T11" s="207"/>
      <c r="U11" s="207"/>
      <c r="V11" s="207"/>
      <c r="W11" s="208"/>
    </row>
    <row r="12" spans="1:23" ht="22.5" customHeight="1" x14ac:dyDescent="0.15">
      <c r="A12" s="209"/>
      <c r="B12" s="198"/>
      <c r="C12" s="41"/>
      <c r="D12" s="60">
        <v>1</v>
      </c>
      <c r="E12" s="98">
        <v>0</v>
      </c>
      <c r="F12" s="99">
        <v>3</v>
      </c>
      <c r="G12" s="41"/>
      <c r="H12" s="59">
        <v>1</v>
      </c>
      <c r="I12" s="60">
        <v>0</v>
      </c>
      <c r="J12" s="101">
        <v>2</v>
      </c>
      <c r="K12" s="41"/>
      <c r="L12" s="59">
        <v>1</v>
      </c>
      <c r="M12" s="60">
        <v>0</v>
      </c>
      <c r="N12" s="101">
        <v>1</v>
      </c>
      <c r="O12" s="41"/>
      <c r="P12" s="59">
        <v>1</v>
      </c>
      <c r="Q12" s="60">
        <v>0</v>
      </c>
      <c r="R12" s="101">
        <v>0</v>
      </c>
      <c r="S12" s="202"/>
      <c r="T12" s="203"/>
      <c r="U12" s="203"/>
      <c r="V12" s="203"/>
      <c r="W12" s="204"/>
    </row>
    <row r="13" spans="1:23" ht="22.5" customHeight="1" x14ac:dyDescent="0.15">
      <c r="A13" s="226" t="s">
        <v>727</v>
      </c>
      <c r="B13" s="197" t="s">
        <v>379</v>
      </c>
      <c r="C13" s="138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4"/>
      <c r="S13" s="199"/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0"/>
      <c r="E14" s="98"/>
      <c r="F14" s="99"/>
      <c r="G14" s="43"/>
      <c r="H14" s="59"/>
      <c r="I14" s="60"/>
      <c r="J14" s="101"/>
      <c r="K14" s="42"/>
      <c r="L14" s="59"/>
      <c r="M14" s="60"/>
      <c r="N14" s="101"/>
      <c r="O14" s="42"/>
      <c r="P14" s="59"/>
      <c r="Q14" s="60"/>
      <c r="R14" s="101"/>
      <c r="S14" s="202"/>
      <c r="T14" s="203"/>
      <c r="U14" s="203"/>
      <c r="V14" s="203"/>
      <c r="W14" s="204"/>
    </row>
    <row r="15" spans="1:23" ht="22.5" customHeight="1" x14ac:dyDescent="0.15">
      <c r="A15" s="226" t="s">
        <v>728</v>
      </c>
      <c r="B15" s="197" t="s">
        <v>379</v>
      </c>
      <c r="C15" s="138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4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60"/>
      <c r="E16" s="98"/>
      <c r="F16" s="99"/>
      <c r="G16" s="43"/>
      <c r="H16" s="59"/>
      <c r="I16" s="60"/>
      <c r="J16" s="101"/>
      <c r="K16" s="42"/>
      <c r="L16" s="59"/>
      <c r="M16" s="60"/>
      <c r="N16" s="101"/>
      <c r="O16" s="42"/>
      <c r="P16" s="59"/>
      <c r="Q16" s="60"/>
      <c r="R16" s="101"/>
      <c r="S16" s="202"/>
      <c r="T16" s="203"/>
      <c r="U16" s="203"/>
      <c r="V16" s="203"/>
      <c r="W16" s="204"/>
    </row>
    <row r="17" spans="1:23" ht="22.5" customHeight="1" x14ac:dyDescent="0.15">
      <c r="A17" s="226" t="s">
        <v>729</v>
      </c>
      <c r="B17" s="197" t="s">
        <v>379</v>
      </c>
      <c r="C17" s="138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4"/>
      <c r="S17" s="199"/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60"/>
      <c r="E18" s="98"/>
      <c r="F18" s="99"/>
      <c r="G18" s="43"/>
      <c r="H18" s="59"/>
      <c r="I18" s="60"/>
      <c r="J18" s="101"/>
      <c r="K18" s="42"/>
      <c r="L18" s="59"/>
      <c r="M18" s="60"/>
      <c r="N18" s="101"/>
      <c r="O18" s="42"/>
      <c r="P18" s="59"/>
      <c r="Q18" s="60"/>
      <c r="R18" s="101"/>
      <c r="S18" s="202"/>
      <c r="T18" s="203"/>
      <c r="U18" s="203"/>
      <c r="V18" s="203"/>
      <c r="W18" s="204"/>
    </row>
    <row r="19" spans="1:23" ht="22.5" customHeight="1" x14ac:dyDescent="0.15">
      <c r="A19" s="226" t="s">
        <v>730</v>
      </c>
      <c r="B19" s="197" t="s">
        <v>379</v>
      </c>
      <c r="C19" s="138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4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60"/>
      <c r="E20" s="98"/>
      <c r="F20" s="99"/>
      <c r="G20" s="43"/>
      <c r="H20" s="59"/>
      <c r="I20" s="60"/>
      <c r="J20" s="101"/>
      <c r="K20" s="42"/>
      <c r="L20" s="59"/>
      <c r="M20" s="60"/>
      <c r="N20" s="101"/>
      <c r="O20" s="42"/>
      <c r="P20" s="59"/>
      <c r="Q20" s="60"/>
      <c r="R20" s="101"/>
      <c r="S20" s="202"/>
      <c r="T20" s="203"/>
      <c r="U20" s="203"/>
      <c r="V20" s="203"/>
      <c r="W20" s="204"/>
    </row>
    <row r="21" spans="1:23" ht="22.5" customHeight="1" x14ac:dyDescent="0.15">
      <c r="A21" s="226" t="s">
        <v>731</v>
      </c>
      <c r="B21" s="197" t="s">
        <v>379</v>
      </c>
      <c r="C21" s="138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242" t="s">
        <v>426</v>
      </c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60"/>
      <c r="E22" s="98"/>
      <c r="F22" s="99"/>
      <c r="G22" s="43"/>
      <c r="H22" s="59"/>
      <c r="I22" s="60"/>
      <c r="J22" s="101"/>
      <c r="K22" s="42"/>
      <c r="L22" s="59"/>
      <c r="M22" s="60"/>
      <c r="N22" s="101"/>
      <c r="O22" s="42"/>
      <c r="P22" s="59"/>
      <c r="Q22" s="60"/>
      <c r="R22" s="244"/>
      <c r="S22" s="202"/>
      <c r="T22" s="203"/>
      <c r="U22" s="203"/>
      <c r="V22" s="203"/>
      <c r="W22" s="204"/>
    </row>
    <row r="23" spans="1:23" ht="22.5" customHeight="1" x14ac:dyDescent="0.15">
      <c r="A23" s="226" t="s">
        <v>732</v>
      </c>
      <c r="B23" s="197" t="s">
        <v>379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242" t="s">
        <v>389</v>
      </c>
      <c r="S23" s="205"/>
      <c r="T23" s="207"/>
      <c r="U23" s="207"/>
      <c r="V23" s="207"/>
      <c r="W23" s="208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2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85" t="s">
        <v>459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'D0540'!J28+1</f>
        <v>79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1">
    <mergeCell ref="S7:W8"/>
    <mergeCell ref="A3:A4"/>
    <mergeCell ref="B3:B4"/>
    <mergeCell ref="S3:W4"/>
    <mergeCell ref="A5:A6"/>
    <mergeCell ref="C5:J5"/>
    <mergeCell ref="K5:R5"/>
    <mergeCell ref="S5:W6"/>
    <mergeCell ref="A7:A8"/>
    <mergeCell ref="B7:B8"/>
    <mergeCell ref="G7:J7"/>
    <mergeCell ref="K7:N7"/>
    <mergeCell ref="O7:R7"/>
    <mergeCell ref="A9:A10"/>
    <mergeCell ref="B9:B10"/>
    <mergeCell ref="C9:R9"/>
    <mergeCell ref="S9:W10"/>
    <mergeCell ref="A11:A12"/>
    <mergeCell ref="B11:B12"/>
    <mergeCell ref="C11:R11"/>
    <mergeCell ref="S11:W12"/>
    <mergeCell ref="A13:A14"/>
    <mergeCell ref="B13:B14"/>
    <mergeCell ref="S13:W14"/>
    <mergeCell ref="A15:A16"/>
    <mergeCell ref="B15:B16"/>
    <mergeCell ref="S15:W16"/>
    <mergeCell ref="A17:A18"/>
    <mergeCell ref="B17:B18"/>
    <mergeCell ref="S17:W18"/>
    <mergeCell ref="A19:A20"/>
    <mergeCell ref="B19:B20"/>
    <mergeCell ref="S19:W20"/>
    <mergeCell ref="A21:A22"/>
    <mergeCell ref="B21:B22"/>
    <mergeCell ref="R21:R22"/>
    <mergeCell ref="S21:W22"/>
    <mergeCell ref="A23:A24"/>
    <mergeCell ref="B23:B24"/>
    <mergeCell ref="R23:R24"/>
    <mergeCell ref="S23:W24"/>
  </mergeCells>
  <phoneticPr fontId="18"/>
  <hyperlinks>
    <hyperlink ref="A1" location="レジスタ概要!A1" display="レジスタ概要!A1" xr:uid="{00000000-0004-0000-2C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7">
    <pageSetUpPr fitToPage="1"/>
  </sheetPr>
  <dimension ref="A1:W29"/>
  <sheetViews>
    <sheetView view="pageBreakPreview" topLeftCell="A4" zoomScale="85" zoomScaleNormal="100" zoomScaleSheetLayoutView="85" workbookViewId="0"/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679</v>
      </c>
      <c r="B5" s="53" t="s">
        <v>406</v>
      </c>
      <c r="C5" s="217" t="s">
        <v>325</v>
      </c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45"/>
      <c r="S5" s="199" t="s">
        <v>326</v>
      </c>
      <c r="T5" s="200"/>
      <c r="U5" s="200"/>
      <c r="V5" s="200"/>
      <c r="W5" s="201"/>
    </row>
    <row r="6" spans="1:23" ht="22.5" customHeight="1" x14ac:dyDescent="0.15">
      <c r="A6" s="209"/>
      <c r="B6" s="54" t="s">
        <v>203</v>
      </c>
      <c r="C6" s="41"/>
      <c r="D6" s="63">
        <v>1</v>
      </c>
      <c r="E6" s="63">
        <v>0</v>
      </c>
      <c r="F6" s="66">
        <v>3</v>
      </c>
      <c r="G6" s="41"/>
      <c r="H6" s="63">
        <v>1</v>
      </c>
      <c r="I6" s="63">
        <v>0</v>
      </c>
      <c r="J6" s="66">
        <v>2</v>
      </c>
      <c r="K6" s="43"/>
      <c r="L6" s="63">
        <v>1</v>
      </c>
      <c r="M6" s="63">
        <v>0</v>
      </c>
      <c r="N6" s="66">
        <v>1</v>
      </c>
      <c r="O6" s="43"/>
      <c r="P6" s="63">
        <v>1</v>
      </c>
      <c r="Q6" s="63">
        <v>0</v>
      </c>
      <c r="R6" s="66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680</v>
      </c>
      <c r="B7" s="197" t="s">
        <v>162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199" t="s">
        <v>395</v>
      </c>
      <c r="R7" s="238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72"/>
      <c r="H8" s="73"/>
      <c r="I8" s="73"/>
      <c r="J8" s="73"/>
      <c r="K8" s="72"/>
      <c r="L8" s="73"/>
      <c r="M8" s="73"/>
      <c r="N8" s="73"/>
      <c r="O8" s="72"/>
      <c r="P8" s="74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226" t="s">
        <v>681</v>
      </c>
      <c r="B9" s="197" t="s">
        <v>327</v>
      </c>
      <c r="C9" s="199" t="s">
        <v>328</v>
      </c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6"/>
      <c r="S9" s="199" t="s">
        <v>166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3">
        <v>1</v>
      </c>
      <c r="E10" s="63">
        <v>0</v>
      </c>
      <c r="F10" s="66">
        <v>3</v>
      </c>
      <c r="G10" s="41"/>
      <c r="H10" s="63">
        <v>1</v>
      </c>
      <c r="I10" s="63">
        <v>0</v>
      </c>
      <c r="J10" s="66">
        <v>2</v>
      </c>
      <c r="K10" s="43"/>
      <c r="L10" s="63">
        <v>1</v>
      </c>
      <c r="M10" s="63">
        <v>0</v>
      </c>
      <c r="N10" s="66">
        <v>1</v>
      </c>
      <c r="O10" s="43"/>
      <c r="P10" s="63">
        <v>1</v>
      </c>
      <c r="Q10" s="63">
        <v>0</v>
      </c>
      <c r="R10" s="66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682</v>
      </c>
      <c r="B11" s="197" t="s">
        <v>162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199" t="s">
        <v>396</v>
      </c>
      <c r="R11" s="238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72"/>
      <c r="H12" s="73"/>
      <c r="I12" s="73"/>
      <c r="J12" s="73"/>
      <c r="K12" s="72"/>
      <c r="L12" s="73"/>
      <c r="M12" s="73"/>
      <c r="N12" s="73"/>
      <c r="O12" s="72"/>
      <c r="P12" s="74"/>
      <c r="Q12" s="91"/>
      <c r="R12" s="92"/>
      <c r="S12" s="202"/>
      <c r="T12" s="203"/>
      <c r="U12" s="203"/>
      <c r="V12" s="203"/>
      <c r="W12" s="204"/>
    </row>
    <row r="13" spans="1:23" ht="22.5" customHeight="1" x14ac:dyDescent="0.15">
      <c r="A13" s="226" t="s">
        <v>683</v>
      </c>
      <c r="B13" s="197" t="s">
        <v>329</v>
      </c>
      <c r="C13" s="199" t="s">
        <v>330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6"/>
      <c r="S13" s="199" t="s">
        <v>166</v>
      </c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3">
        <v>1</v>
      </c>
      <c r="E14" s="63">
        <v>0</v>
      </c>
      <c r="F14" s="66">
        <v>3</v>
      </c>
      <c r="G14" s="41"/>
      <c r="H14" s="63">
        <v>1</v>
      </c>
      <c r="I14" s="63">
        <v>0</v>
      </c>
      <c r="J14" s="66">
        <v>2</v>
      </c>
      <c r="K14" s="43"/>
      <c r="L14" s="63">
        <v>1</v>
      </c>
      <c r="M14" s="63">
        <v>0</v>
      </c>
      <c r="N14" s="66">
        <v>1</v>
      </c>
      <c r="O14" s="43"/>
      <c r="P14" s="63">
        <v>1</v>
      </c>
      <c r="Q14" s="63">
        <v>0</v>
      </c>
      <c r="R14" s="66">
        <v>0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684</v>
      </c>
      <c r="B15" s="197" t="s">
        <v>162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199" t="s">
        <v>407</v>
      </c>
      <c r="R15" s="238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72"/>
      <c r="H16" s="73"/>
      <c r="I16" s="73"/>
      <c r="J16" s="73"/>
      <c r="K16" s="72"/>
      <c r="L16" s="73"/>
      <c r="M16" s="73"/>
      <c r="N16" s="73"/>
      <c r="O16" s="72"/>
      <c r="P16" s="74"/>
      <c r="Q16" s="91"/>
      <c r="R16" s="92"/>
      <c r="S16" s="202"/>
      <c r="T16" s="203"/>
      <c r="U16" s="203"/>
      <c r="V16" s="203"/>
      <c r="W16" s="204"/>
    </row>
    <row r="17" spans="1:23" ht="22.5" customHeight="1" x14ac:dyDescent="0.15">
      <c r="A17" s="226" t="s">
        <v>685</v>
      </c>
      <c r="B17" s="197" t="s">
        <v>329</v>
      </c>
      <c r="C17" s="199" t="s">
        <v>331</v>
      </c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6"/>
      <c r="S17" s="199" t="s">
        <v>166</v>
      </c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63">
        <v>1</v>
      </c>
      <c r="E18" s="63">
        <v>0</v>
      </c>
      <c r="F18" s="66">
        <v>3</v>
      </c>
      <c r="G18" s="41"/>
      <c r="H18" s="63">
        <v>1</v>
      </c>
      <c r="I18" s="63">
        <v>0</v>
      </c>
      <c r="J18" s="66">
        <v>2</v>
      </c>
      <c r="K18" s="43"/>
      <c r="L18" s="63">
        <v>1</v>
      </c>
      <c r="M18" s="63">
        <v>0</v>
      </c>
      <c r="N18" s="66">
        <v>1</v>
      </c>
      <c r="O18" s="43"/>
      <c r="P18" s="63">
        <v>1</v>
      </c>
      <c r="Q18" s="63">
        <v>0</v>
      </c>
      <c r="R18" s="66">
        <v>0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686</v>
      </c>
      <c r="B19" s="197" t="s">
        <v>162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199" t="s">
        <v>408</v>
      </c>
      <c r="R19" s="238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>
        <v>0</v>
      </c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61"/>
      <c r="Q20" s="41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687</v>
      </c>
      <c r="B21" s="197" t="s">
        <v>162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688</v>
      </c>
      <c r="B23" s="197" t="s">
        <v>329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202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54" t="s">
        <v>204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'D0550'!J28+1</f>
        <v>80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0">
    <mergeCell ref="A3:A4"/>
    <mergeCell ref="B3:B4"/>
    <mergeCell ref="S3:W4"/>
    <mergeCell ref="A5:A6"/>
    <mergeCell ref="S5:W6"/>
    <mergeCell ref="C5:R5"/>
    <mergeCell ref="A7:A8"/>
    <mergeCell ref="B7:B8"/>
    <mergeCell ref="S7:W8"/>
    <mergeCell ref="Q7:R7"/>
    <mergeCell ref="A9:A10"/>
    <mergeCell ref="B9:B10"/>
    <mergeCell ref="S9:W10"/>
    <mergeCell ref="A11:A12"/>
    <mergeCell ref="B11:B12"/>
    <mergeCell ref="S11:W12"/>
    <mergeCell ref="Q11:R11"/>
    <mergeCell ref="C9:R9"/>
    <mergeCell ref="A13:A14"/>
    <mergeCell ref="B13:B14"/>
    <mergeCell ref="S13:W14"/>
    <mergeCell ref="A15:A16"/>
    <mergeCell ref="B15:B16"/>
    <mergeCell ref="S15:W16"/>
    <mergeCell ref="Q15:R15"/>
    <mergeCell ref="C13:R13"/>
    <mergeCell ref="A17:A18"/>
    <mergeCell ref="B17:B18"/>
    <mergeCell ref="S17:W18"/>
    <mergeCell ref="A19:A20"/>
    <mergeCell ref="B19:B20"/>
    <mergeCell ref="S19:W20"/>
    <mergeCell ref="C17:R17"/>
    <mergeCell ref="A21:A22"/>
    <mergeCell ref="B21:B22"/>
    <mergeCell ref="S21:W22"/>
    <mergeCell ref="Q19:R19"/>
    <mergeCell ref="A23:A24"/>
    <mergeCell ref="B23:B24"/>
    <mergeCell ref="S23:W24"/>
  </mergeCells>
  <phoneticPr fontId="18"/>
  <hyperlinks>
    <hyperlink ref="A1" location="レジスタ概要!A1" display="レジスタ概要!A1" xr:uid="{00000000-0004-0000-33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pageSetUpPr fitToPage="1"/>
  </sheetPr>
  <dimension ref="A1:W29"/>
  <sheetViews>
    <sheetView view="pageBreakPreview" topLeftCell="A4" zoomScale="85" zoomScaleNormal="100" zoomScaleSheetLayoutView="85" workbookViewId="0">
      <selection activeCell="L20" sqref="L20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689</v>
      </c>
      <c r="B5" s="53" t="s">
        <v>409</v>
      </c>
      <c r="C5" s="199" t="s">
        <v>762</v>
      </c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6"/>
      <c r="S5" s="199" t="s">
        <v>326</v>
      </c>
      <c r="T5" s="200"/>
      <c r="U5" s="200"/>
      <c r="V5" s="200"/>
      <c r="W5" s="201"/>
    </row>
    <row r="6" spans="1:23" ht="22.5" customHeight="1" x14ac:dyDescent="0.15">
      <c r="A6" s="209"/>
      <c r="B6" s="54" t="s">
        <v>203</v>
      </c>
      <c r="C6" s="41"/>
      <c r="D6" s="63">
        <v>1</v>
      </c>
      <c r="E6" s="63">
        <v>0</v>
      </c>
      <c r="F6" s="66">
        <v>3</v>
      </c>
      <c r="G6" s="41"/>
      <c r="H6" s="63">
        <v>1</v>
      </c>
      <c r="I6" s="63">
        <v>0</v>
      </c>
      <c r="J6" s="66">
        <v>2</v>
      </c>
      <c r="K6" s="43"/>
      <c r="L6" s="63">
        <v>1</v>
      </c>
      <c r="M6" s="63">
        <v>0</v>
      </c>
      <c r="N6" s="66">
        <v>1</v>
      </c>
      <c r="O6" s="43"/>
      <c r="P6" s="63">
        <v>1</v>
      </c>
      <c r="Q6" s="63">
        <v>0</v>
      </c>
      <c r="R6" s="66">
        <v>0</v>
      </c>
      <c r="S6" s="202"/>
      <c r="T6" s="203"/>
      <c r="U6" s="203"/>
      <c r="V6" s="203"/>
      <c r="W6" s="204"/>
    </row>
    <row r="7" spans="1:23" ht="22.5" customHeight="1" x14ac:dyDescent="0.15">
      <c r="A7" s="226" t="s">
        <v>690</v>
      </c>
      <c r="B7" s="197" t="s">
        <v>162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199" t="s">
        <v>395</v>
      </c>
      <c r="R7" s="238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72"/>
      <c r="H8" s="73"/>
      <c r="I8" s="73"/>
      <c r="J8" s="73"/>
      <c r="K8" s="72"/>
      <c r="L8" s="73"/>
      <c r="M8" s="73"/>
      <c r="N8" s="73"/>
      <c r="O8" s="72"/>
      <c r="P8" s="74"/>
      <c r="Q8" s="91"/>
      <c r="R8" s="92"/>
      <c r="S8" s="202"/>
      <c r="T8" s="203"/>
      <c r="U8" s="203"/>
      <c r="V8" s="203"/>
      <c r="W8" s="204"/>
    </row>
    <row r="9" spans="1:23" ht="22.5" customHeight="1" x14ac:dyDescent="0.15">
      <c r="A9" s="226" t="s">
        <v>691</v>
      </c>
      <c r="B9" s="197" t="s">
        <v>327</v>
      </c>
      <c r="C9" s="199" t="s">
        <v>328</v>
      </c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6"/>
      <c r="S9" s="199" t="s">
        <v>166</v>
      </c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63">
        <v>1</v>
      </c>
      <c r="E10" s="63">
        <v>0</v>
      </c>
      <c r="F10" s="66">
        <v>3</v>
      </c>
      <c r="G10" s="41"/>
      <c r="H10" s="63">
        <v>1</v>
      </c>
      <c r="I10" s="63">
        <v>0</v>
      </c>
      <c r="J10" s="66">
        <v>2</v>
      </c>
      <c r="K10" s="43"/>
      <c r="L10" s="63">
        <v>1</v>
      </c>
      <c r="M10" s="63">
        <v>0</v>
      </c>
      <c r="N10" s="66">
        <v>1</v>
      </c>
      <c r="O10" s="43"/>
      <c r="P10" s="63">
        <v>1</v>
      </c>
      <c r="Q10" s="63">
        <v>0</v>
      </c>
      <c r="R10" s="66">
        <v>0</v>
      </c>
      <c r="S10" s="202"/>
      <c r="T10" s="203"/>
      <c r="U10" s="203"/>
      <c r="V10" s="203"/>
      <c r="W10" s="204"/>
    </row>
    <row r="11" spans="1:23" ht="22.5" customHeight="1" x14ac:dyDescent="0.15">
      <c r="A11" s="226" t="s">
        <v>692</v>
      </c>
      <c r="B11" s="197" t="s">
        <v>162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199" t="s">
        <v>396</v>
      </c>
      <c r="R11" s="238"/>
      <c r="S11" s="199"/>
      <c r="T11" s="200"/>
      <c r="U11" s="200"/>
      <c r="V11" s="200"/>
      <c r="W11" s="201"/>
    </row>
    <row r="12" spans="1:23" ht="22.5" customHeight="1" x14ac:dyDescent="0.15">
      <c r="A12" s="209"/>
      <c r="B12" s="198"/>
      <c r="C12" s="41"/>
      <c r="D12" s="42"/>
      <c r="E12" s="42"/>
      <c r="F12" s="42"/>
      <c r="G12" s="72"/>
      <c r="H12" s="73"/>
      <c r="I12" s="73"/>
      <c r="J12" s="73"/>
      <c r="K12" s="72"/>
      <c r="L12" s="73"/>
      <c r="M12" s="73"/>
      <c r="N12" s="73"/>
      <c r="O12" s="72"/>
      <c r="P12" s="74"/>
      <c r="Q12" s="91"/>
      <c r="R12" s="92"/>
      <c r="S12" s="202"/>
      <c r="T12" s="203"/>
      <c r="U12" s="203"/>
      <c r="V12" s="203"/>
      <c r="W12" s="204"/>
    </row>
    <row r="13" spans="1:23" ht="22.5" customHeight="1" x14ac:dyDescent="0.15">
      <c r="A13" s="226" t="s">
        <v>693</v>
      </c>
      <c r="B13" s="197" t="s">
        <v>329</v>
      </c>
      <c r="C13" s="199" t="s">
        <v>330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6"/>
      <c r="S13" s="199" t="s">
        <v>166</v>
      </c>
      <c r="T13" s="200"/>
      <c r="U13" s="200"/>
      <c r="V13" s="200"/>
      <c r="W13" s="201"/>
    </row>
    <row r="14" spans="1:23" ht="22.5" customHeight="1" x14ac:dyDescent="0.15">
      <c r="A14" s="209"/>
      <c r="B14" s="198"/>
      <c r="C14" s="41"/>
      <c r="D14" s="63">
        <v>1</v>
      </c>
      <c r="E14" s="63">
        <v>0</v>
      </c>
      <c r="F14" s="66">
        <v>3</v>
      </c>
      <c r="G14" s="41"/>
      <c r="H14" s="63">
        <v>1</v>
      </c>
      <c r="I14" s="63">
        <v>0</v>
      </c>
      <c r="J14" s="66">
        <v>2</v>
      </c>
      <c r="K14" s="43"/>
      <c r="L14" s="63">
        <v>1</v>
      </c>
      <c r="M14" s="63">
        <v>0</v>
      </c>
      <c r="N14" s="66">
        <v>1</v>
      </c>
      <c r="O14" s="43"/>
      <c r="P14" s="63">
        <v>1</v>
      </c>
      <c r="Q14" s="63">
        <v>0</v>
      </c>
      <c r="R14" s="66">
        <v>0</v>
      </c>
      <c r="S14" s="202"/>
      <c r="T14" s="203"/>
      <c r="U14" s="203"/>
      <c r="V14" s="203"/>
      <c r="W14" s="204"/>
    </row>
    <row r="15" spans="1:23" ht="22.5" customHeight="1" x14ac:dyDescent="0.15">
      <c r="A15" s="226" t="s">
        <v>694</v>
      </c>
      <c r="B15" s="197" t="s">
        <v>162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199" t="s">
        <v>407</v>
      </c>
      <c r="R15" s="238"/>
      <c r="S15" s="199"/>
      <c r="T15" s="200"/>
      <c r="U15" s="200"/>
      <c r="V15" s="200"/>
      <c r="W15" s="201"/>
    </row>
    <row r="16" spans="1:23" ht="22.5" customHeight="1" x14ac:dyDescent="0.15">
      <c r="A16" s="209"/>
      <c r="B16" s="198"/>
      <c r="C16" s="41"/>
      <c r="D16" s="42"/>
      <c r="E16" s="42"/>
      <c r="F16" s="42"/>
      <c r="G16" s="72"/>
      <c r="H16" s="73"/>
      <c r="I16" s="73"/>
      <c r="J16" s="73"/>
      <c r="K16" s="72"/>
      <c r="L16" s="73"/>
      <c r="M16" s="73"/>
      <c r="N16" s="73"/>
      <c r="O16" s="72"/>
      <c r="P16" s="74"/>
      <c r="Q16" s="91"/>
      <c r="R16" s="92"/>
      <c r="S16" s="202"/>
      <c r="T16" s="203"/>
      <c r="U16" s="203"/>
      <c r="V16" s="203"/>
      <c r="W16" s="204"/>
    </row>
    <row r="17" spans="1:23" ht="22.5" customHeight="1" x14ac:dyDescent="0.15">
      <c r="A17" s="226" t="s">
        <v>695</v>
      </c>
      <c r="B17" s="197" t="s">
        <v>329</v>
      </c>
      <c r="C17" s="199" t="s">
        <v>331</v>
      </c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6"/>
      <c r="S17" s="199" t="s">
        <v>166</v>
      </c>
      <c r="T17" s="200"/>
      <c r="U17" s="200"/>
      <c r="V17" s="200"/>
      <c r="W17" s="201"/>
    </row>
    <row r="18" spans="1:23" ht="22.5" customHeight="1" x14ac:dyDescent="0.15">
      <c r="A18" s="209"/>
      <c r="B18" s="198"/>
      <c r="C18" s="41"/>
      <c r="D18" s="63">
        <v>1</v>
      </c>
      <c r="E18" s="63">
        <v>0</v>
      </c>
      <c r="F18" s="66">
        <v>3</v>
      </c>
      <c r="G18" s="41"/>
      <c r="H18" s="63">
        <v>1</v>
      </c>
      <c r="I18" s="63">
        <v>0</v>
      </c>
      <c r="J18" s="66">
        <v>2</v>
      </c>
      <c r="K18" s="43"/>
      <c r="L18" s="63">
        <v>1</v>
      </c>
      <c r="M18" s="63">
        <v>0</v>
      </c>
      <c r="N18" s="66">
        <v>1</v>
      </c>
      <c r="O18" s="43"/>
      <c r="P18" s="63">
        <v>1</v>
      </c>
      <c r="Q18" s="63">
        <v>0</v>
      </c>
      <c r="R18" s="66">
        <v>0</v>
      </c>
      <c r="S18" s="202"/>
      <c r="T18" s="203"/>
      <c r="U18" s="203"/>
      <c r="V18" s="203"/>
      <c r="W18" s="204"/>
    </row>
    <row r="19" spans="1:23" ht="22.5" customHeight="1" x14ac:dyDescent="0.15">
      <c r="A19" s="226" t="s">
        <v>696</v>
      </c>
      <c r="B19" s="197" t="s">
        <v>162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199" t="s">
        <v>408</v>
      </c>
      <c r="R19" s="238"/>
      <c r="S19" s="199"/>
      <c r="T19" s="200"/>
      <c r="U19" s="200"/>
      <c r="V19" s="200"/>
      <c r="W19" s="201"/>
    </row>
    <row r="20" spans="1:23" ht="22.5" customHeight="1" x14ac:dyDescent="0.15">
      <c r="A20" s="209"/>
      <c r="B20" s="198"/>
      <c r="C20" s="41"/>
      <c r="D20" s="42"/>
      <c r="E20" s="42">
        <v>0</v>
      </c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61"/>
      <c r="Q20" s="41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697</v>
      </c>
      <c r="B21" s="197" t="s">
        <v>162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 t="s">
        <v>739</v>
      </c>
      <c r="T21" s="200"/>
      <c r="U21" s="200"/>
      <c r="V21" s="200"/>
      <c r="W21" s="201"/>
    </row>
    <row r="22" spans="1:23" ht="22.5" customHeight="1" x14ac:dyDescent="0.15">
      <c r="A22" s="209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698</v>
      </c>
      <c r="B23" s="197" t="s">
        <v>329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53" t="s">
        <v>202</v>
      </c>
      <c r="S23" s="199"/>
      <c r="T23" s="200"/>
      <c r="U23" s="200"/>
      <c r="V23" s="200"/>
      <c r="W23" s="201"/>
    </row>
    <row r="24" spans="1:23" ht="22.5" customHeight="1" x14ac:dyDescent="0.15">
      <c r="A24" s="209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54" t="s">
        <v>204</v>
      </c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09" t="s">
        <v>397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>
        <f>'D0720'!J28+1</f>
        <v>81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0">
    <mergeCell ref="A3:A4"/>
    <mergeCell ref="B3:B4"/>
    <mergeCell ref="S3:W4"/>
    <mergeCell ref="A5:A6"/>
    <mergeCell ref="S5:W6"/>
    <mergeCell ref="C5:R5"/>
    <mergeCell ref="A7:A8"/>
    <mergeCell ref="B7:B8"/>
    <mergeCell ref="S7:W8"/>
    <mergeCell ref="Q7:R7"/>
    <mergeCell ref="A9:A10"/>
    <mergeCell ref="B9:B10"/>
    <mergeCell ref="S9:W10"/>
    <mergeCell ref="A11:A12"/>
    <mergeCell ref="B11:B12"/>
    <mergeCell ref="S11:W12"/>
    <mergeCell ref="Q11:R11"/>
    <mergeCell ref="C9:R9"/>
    <mergeCell ref="A13:A14"/>
    <mergeCell ref="B13:B14"/>
    <mergeCell ref="S13:W14"/>
    <mergeCell ref="A15:A16"/>
    <mergeCell ref="B15:B16"/>
    <mergeCell ref="S15:W16"/>
    <mergeCell ref="Q15:R15"/>
    <mergeCell ref="C13:R13"/>
    <mergeCell ref="A17:A18"/>
    <mergeCell ref="B17:B18"/>
    <mergeCell ref="S17:W18"/>
    <mergeCell ref="A19:A20"/>
    <mergeCell ref="B19:B20"/>
    <mergeCell ref="S19:W20"/>
    <mergeCell ref="C17:R17"/>
    <mergeCell ref="A21:A22"/>
    <mergeCell ref="B21:B22"/>
    <mergeCell ref="S21:W22"/>
    <mergeCell ref="Q19:R19"/>
    <mergeCell ref="A23:A24"/>
    <mergeCell ref="B23:B24"/>
    <mergeCell ref="S23:W24"/>
  </mergeCells>
  <phoneticPr fontId="18"/>
  <hyperlinks>
    <hyperlink ref="A1" location="レジスタ概要!A1" display="レジスタ概要!A1" xr:uid="{00000000-0004-0000-34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9">
    <pageSetUpPr fitToPage="1"/>
  </sheetPr>
  <dimension ref="A1:W29"/>
  <sheetViews>
    <sheetView view="pageBreakPreview" topLeftCell="A4" zoomScale="85" zoomScaleNormal="100" zoomScaleSheetLayoutView="85" workbookViewId="0">
      <selection activeCell="M25" sqref="M25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27" t="s">
        <v>541</v>
      </c>
      <c r="B5" s="197" t="s">
        <v>151</v>
      </c>
      <c r="C5" s="38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40"/>
      <c r="S5" s="199"/>
      <c r="T5" s="200"/>
      <c r="U5" s="200"/>
      <c r="V5" s="200"/>
      <c r="W5" s="201"/>
    </row>
    <row r="6" spans="1:23" ht="22.5" customHeight="1" x14ac:dyDescent="0.15">
      <c r="A6" s="196"/>
      <c r="B6" s="198"/>
      <c r="C6" s="41"/>
      <c r="D6" s="42"/>
      <c r="E6" s="42"/>
      <c r="F6" s="42"/>
      <c r="G6" s="43"/>
      <c r="H6" s="42"/>
      <c r="I6" s="42"/>
      <c r="J6" s="42"/>
      <c r="K6" s="43"/>
      <c r="L6" s="42"/>
      <c r="M6" s="42"/>
      <c r="N6" s="42"/>
      <c r="O6" s="43"/>
      <c r="P6" s="42"/>
      <c r="Q6" s="42"/>
      <c r="R6" s="44"/>
      <c r="S6" s="202"/>
      <c r="T6" s="203"/>
      <c r="U6" s="203"/>
      <c r="V6" s="203"/>
      <c r="W6" s="204"/>
    </row>
    <row r="7" spans="1:23" ht="22.5" customHeight="1" x14ac:dyDescent="0.15">
      <c r="A7" s="226" t="s">
        <v>542</v>
      </c>
      <c r="B7" s="197" t="s">
        <v>151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40"/>
      <c r="S7" s="199"/>
      <c r="T7" s="200"/>
      <c r="U7" s="200"/>
      <c r="V7" s="200"/>
      <c r="W7" s="201"/>
    </row>
    <row r="8" spans="1:23" ht="22.5" customHeight="1" x14ac:dyDescent="0.15">
      <c r="A8" s="196"/>
      <c r="B8" s="198"/>
      <c r="C8" s="41"/>
      <c r="D8" s="42"/>
      <c r="E8" s="42"/>
      <c r="F8" s="42"/>
      <c r="G8" s="43"/>
      <c r="H8" s="42"/>
      <c r="I8" s="42"/>
      <c r="J8" s="42"/>
      <c r="K8" s="43"/>
      <c r="L8" s="42"/>
      <c r="M8" s="42"/>
      <c r="N8" s="42"/>
      <c r="O8" s="43"/>
      <c r="P8" s="42"/>
      <c r="Q8" s="42"/>
      <c r="R8" s="44"/>
      <c r="S8" s="202"/>
      <c r="T8" s="203"/>
      <c r="U8" s="203"/>
      <c r="V8" s="203"/>
      <c r="W8" s="204"/>
    </row>
    <row r="9" spans="1:23" ht="22.5" customHeight="1" x14ac:dyDescent="0.15">
      <c r="A9" s="226" t="s">
        <v>543</v>
      </c>
      <c r="B9" s="197" t="s">
        <v>151</v>
      </c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196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226" t="s">
        <v>544</v>
      </c>
      <c r="B11" s="197" t="s">
        <v>151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226" t="s">
        <v>545</v>
      </c>
      <c r="B13" s="197" t="s">
        <v>151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226" t="s">
        <v>546</v>
      </c>
      <c r="B15" s="197" t="s">
        <v>151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226" t="s">
        <v>547</v>
      </c>
      <c r="B17" s="197" t="s">
        <v>151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226" t="s">
        <v>548</v>
      </c>
      <c r="B19" s="197" t="s">
        <v>151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226" t="s">
        <v>549</v>
      </c>
      <c r="B21" s="197" t="s">
        <v>151</v>
      </c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226" t="s">
        <v>550</v>
      </c>
      <c r="B23" s="197" t="s">
        <v>151</v>
      </c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2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20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85"/>
      <c r="C28" s="46"/>
      <c r="D28" s="46"/>
      <c r="E28" s="46"/>
      <c r="F28" s="46"/>
      <c r="G28" s="46"/>
      <c r="H28" s="46"/>
      <c r="I28" s="46"/>
      <c r="J28" s="46">
        <f>'D0730'!J28+1</f>
        <v>82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33">
    <mergeCell ref="A7:A8"/>
    <mergeCell ref="S7:W8"/>
    <mergeCell ref="A9:A10"/>
    <mergeCell ref="S9:W10"/>
    <mergeCell ref="A3:A4"/>
    <mergeCell ref="B3:B4"/>
    <mergeCell ref="S3:W4"/>
    <mergeCell ref="A5:A6"/>
    <mergeCell ref="S5:W6"/>
    <mergeCell ref="B17:B18"/>
    <mergeCell ref="S17:W18"/>
    <mergeCell ref="A11:A12"/>
    <mergeCell ref="B11:B12"/>
    <mergeCell ref="S11:W12"/>
    <mergeCell ref="A13:A14"/>
    <mergeCell ref="B13:B14"/>
    <mergeCell ref="S13:W14"/>
    <mergeCell ref="A23:A24"/>
    <mergeCell ref="B23:B24"/>
    <mergeCell ref="S23:W24"/>
    <mergeCell ref="B5:B6"/>
    <mergeCell ref="B7:B8"/>
    <mergeCell ref="B9:B10"/>
    <mergeCell ref="A19:A20"/>
    <mergeCell ref="B19:B20"/>
    <mergeCell ref="S19:W20"/>
    <mergeCell ref="A21:A22"/>
    <mergeCell ref="B21:B22"/>
    <mergeCell ref="S21:W22"/>
    <mergeCell ref="A15:A16"/>
    <mergeCell ref="B15:B16"/>
    <mergeCell ref="S15:W16"/>
    <mergeCell ref="A17:A18"/>
  </mergeCells>
  <phoneticPr fontId="18"/>
  <hyperlinks>
    <hyperlink ref="A1" location="レジスタ概要!A1" display="レジスタ概要!A1" xr:uid="{00000000-0004-0000-35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0">
    <pageSetUpPr fitToPage="1"/>
  </sheetPr>
  <dimension ref="A1:W29"/>
  <sheetViews>
    <sheetView view="pageBreakPreview" topLeftCell="A13" zoomScale="85" zoomScaleNormal="100" zoomScaleSheetLayoutView="85" workbookViewId="0">
      <selection activeCell="P18" sqref="P18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432</v>
      </c>
      <c r="B5" s="57" t="s">
        <v>349</v>
      </c>
      <c r="C5" s="55"/>
      <c r="D5" s="56"/>
      <c r="E5" s="56"/>
      <c r="F5" s="39"/>
      <c r="G5" s="39"/>
      <c r="H5" s="56"/>
      <c r="I5" s="56"/>
      <c r="J5" s="39"/>
      <c r="K5" s="56"/>
      <c r="L5" s="56"/>
      <c r="M5" s="56"/>
      <c r="N5" s="39"/>
      <c r="O5" s="56"/>
      <c r="P5" s="39"/>
      <c r="Q5" s="39"/>
      <c r="R5" s="250" t="s">
        <v>350</v>
      </c>
      <c r="S5" s="217"/>
      <c r="T5" s="218"/>
      <c r="U5" s="218"/>
      <c r="V5" s="218"/>
      <c r="W5" s="219"/>
    </row>
    <row r="6" spans="1:23" ht="22.5" customHeight="1" x14ac:dyDescent="0.15">
      <c r="A6" s="196"/>
      <c r="B6" s="54" t="s">
        <v>351</v>
      </c>
      <c r="C6" s="41"/>
      <c r="D6" s="59"/>
      <c r="E6" s="60"/>
      <c r="F6" s="42"/>
      <c r="G6" s="43"/>
      <c r="H6" s="59"/>
      <c r="I6" s="60"/>
      <c r="J6" s="43"/>
      <c r="K6" s="59"/>
      <c r="L6" s="60"/>
      <c r="M6" s="60"/>
      <c r="N6" s="43"/>
      <c r="O6" s="59"/>
      <c r="P6" s="61"/>
      <c r="Q6" s="61"/>
      <c r="R6" s="251"/>
      <c r="S6" s="205"/>
      <c r="T6" s="207"/>
      <c r="U6" s="207"/>
      <c r="V6" s="207"/>
      <c r="W6" s="208"/>
    </row>
    <row r="7" spans="1:23" ht="22.5" customHeight="1" x14ac:dyDescent="0.15">
      <c r="A7" s="195" t="s">
        <v>433</v>
      </c>
      <c r="B7" s="53" t="s">
        <v>352</v>
      </c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197" t="s">
        <v>353</v>
      </c>
      <c r="S7" s="199"/>
      <c r="T7" s="200"/>
      <c r="U7" s="200"/>
      <c r="V7" s="200"/>
      <c r="W7" s="201"/>
    </row>
    <row r="8" spans="1:23" ht="22.5" customHeight="1" x14ac:dyDescent="0.15">
      <c r="A8" s="196"/>
      <c r="B8" s="54" t="s">
        <v>354</v>
      </c>
      <c r="C8" s="41"/>
      <c r="D8" s="42"/>
      <c r="E8" s="42"/>
      <c r="F8" s="42"/>
      <c r="G8" s="43"/>
      <c r="H8" s="42"/>
      <c r="I8" s="42"/>
      <c r="J8" s="42"/>
      <c r="K8" s="43"/>
      <c r="L8" s="42"/>
      <c r="M8" s="63"/>
      <c r="N8" s="64"/>
      <c r="O8" s="43"/>
      <c r="P8" s="63"/>
      <c r="Q8" s="77"/>
      <c r="R8" s="198"/>
      <c r="S8" s="202"/>
      <c r="T8" s="203"/>
      <c r="U8" s="203"/>
      <c r="V8" s="203"/>
      <c r="W8" s="204"/>
    </row>
    <row r="9" spans="1:23" ht="22.5" customHeight="1" x14ac:dyDescent="0.15">
      <c r="A9" s="195" t="s">
        <v>434</v>
      </c>
      <c r="B9" s="53" t="s">
        <v>460</v>
      </c>
      <c r="C9" s="199" t="s">
        <v>462</v>
      </c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38"/>
      <c r="S9" s="205" t="s">
        <v>384</v>
      </c>
      <c r="T9" s="207"/>
      <c r="U9" s="207"/>
      <c r="V9" s="207"/>
      <c r="W9" s="208"/>
    </row>
    <row r="10" spans="1:23" ht="22.5" customHeight="1" x14ac:dyDescent="0.15">
      <c r="A10" s="196"/>
      <c r="B10" s="54" t="s">
        <v>461</v>
      </c>
      <c r="C10" s="41"/>
      <c r="D10" s="60">
        <v>1</v>
      </c>
      <c r="E10" s="98">
        <v>0</v>
      </c>
      <c r="F10" s="99">
        <v>3</v>
      </c>
      <c r="G10" s="41"/>
      <c r="H10" s="59">
        <v>1</v>
      </c>
      <c r="I10" s="60">
        <v>0</v>
      </c>
      <c r="J10" s="101">
        <v>2</v>
      </c>
      <c r="K10" s="41"/>
      <c r="L10" s="59">
        <v>1</v>
      </c>
      <c r="M10" s="60">
        <v>0</v>
      </c>
      <c r="N10" s="101">
        <v>1</v>
      </c>
      <c r="O10" s="41"/>
      <c r="P10" s="59">
        <v>1</v>
      </c>
      <c r="Q10" s="60">
        <v>0</v>
      </c>
      <c r="R10" s="101">
        <v>0</v>
      </c>
      <c r="S10" s="202"/>
      <c r="T10" s="203"/>
      <c r="U10" s="203"/>
      <c r="V10" s="203"/>
      <c r="W10" s="204"/>
    </row>
    <row r="11" spans="1:23" ht="22.5" customHeight="1" x14ac:dyDescent="0.15">
      <c r="A11" s="195" t="s">
        <v>435</v>
      </c>
      <c r="B11" s="197" t="s">
        <v>162</v>
      </c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197" t="s">
        <v>353</v>
      </c>
      <c r="S11" s="199"/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198"/>
      <c r="S12" s="202"/>
      <c r="T12" s="203"/>
      <c r="U12" s="203"/>
      <c r="V12" s="203"/>
      <c r="W12" s="204"/>
    </row>
    <row r="13" spans="1:23" ht="22.5" customHeight="1" x14ac:dyDescent="0.15">
      <c r="A13" s="195" t="s">
        <v>436</v>
      </c>
      <c r="B13" s="197" t="s">
        <v>553</v>
      </c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197" t="s">
        <v>177</v>
      </c>
      <c r="S13" s="199" t="s">
        <v>557</v>
      </c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61"/>
      <c r="Q14" s="61"/>
      <c r="R14" s="198"/>
      <c r="S14" s="202"/>
      <c r="T14" s="203"/>
      <c r="U14" s="203"/>
      <c r="V14" s="203"/>
      <c r="W14" s="204"/>
    </row>
    <row r="15" spans="1:23" ht="22.5" customHeight="1" x14ac:dyDescent="0.15">
      <c r="A15" s="195" t="s">
        <v>437</v>
      </c>
      <c r="B15" s="197" t="s">
        <v>554</v>
      </c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197" t="s">
        <v>177</v>
      </c>
      <c r="S15" s="199" t="s">
        <v>557</v>
      </c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61"/>
      <c r="Q16" s="61"/>
      <c r="R16" s="198"/>
      <c r="S16" s="202"/>
      <c r="T16" s="203"/>
      <c r="U16" s="203"/>
      <c r="V16" s="203"/>
      <c r="W16" s="204"/>
    </row>
    <row r="17" spans="1:23" ht="22.5" customHeight="1" x14ac:dyDescent="0.15">
      <c r="A17" s="195" t="s">
        <v>438</v>
      </c>
      <c r="B17" s="197" t="s">
        <v>555</v>
      </c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197" t="s">
        <v>177</v>
      </c>
      <c r="S17" s="199" t="s">
        <v>557</v>
      </c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61"/>
      <c r="Q18" s="61"/>
      <c r="R18" s="198"/>
      <c r="S18" s="202"/>
      <c r="T18" s="203"/>
      <c r="U18" s="203"/>
      <c r="V18" s="203"/>
      <c r="W18" s="204"/>
    </row>
    <row r="19" spans="1:23" ht="22.5" customHeight="1" x14ac:dyDescent="0.15">
      <c r="A19" s="195" t="s">
        <v>439</v>
      </c>
      <c r="B19" s="197" t="s">
        <v>556</v>
      </c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197" t="s">
        <v>177</v>
      </c>
      <c r="S19" s="199" t="s">
        <v>704</v>
      </c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61"/>
      <c r="Q20" s="61"/>
      <c r="R20" s="198"/>
      <c r="S20" s="202"/>
      <c r="T20" s="203"/>
      <c r="U20" s="203"/>
      <c r="V20" s="203"/>
      <c r="W20" s="204"/>
    </row>
    <row r="21" spans="1:23" ht="22.5" customHeight="1" x14ac:dyDescent="0.15">
      <c r="A21" s="195" t="s">
        <v>440</v>
      </c>
      <c r="B21" s="248" t="s">
        <v>787</v>
      </c>
      <c r="C21" s="173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246" t="s">
        <v>788</v>
      </c>
      <c r="S21" s="199"/>
      <c r="T21" s="200"/>
      <c r="U21" s="200"/>
      <c r="V21" s="200"/>
      <c r="W21" s="201"/>
    </row>
    <row r="22" spans="1:23" ht="22.5" customHeight="1" x14ac:dyDescent="0.15">
      <c r="A22" s="196"/>
      <c r="B22" s="249"/>
      <c r="C22" s="175"/>
      <c r="D22" s="176"/>
      <c r="E22" s="176"/>
      <c r="F22" s="176"/>
      <c r="G22" s="177"/>
      <c r="H22" s="176"/>
      <c r="I22" s="176"/>
      <c r="J22" s="176"/>
      <c r="K22" s="177"/>
      <c r="L22" s="176"/>
      <c r="M22" s="176"/>
      <c r="N22" s="176"/>
      <c r="O22" s="177"/>
      <c r="P22" s="176"/>
      <c r="Q22" s="176"/>
      <c r="R22" s="247"/>
      <c r="S22" s="202"/>
      <c r="T22" s="203"/>
      <c r="U22" s="203"/>
      <c r="V22" s="203"/>
      <c r="W22" s="204"/>
    </row>
    <row r="23" spans="1:23" ht="22.5" customHeight="1" x14ac:dyDescent="0.15">
      <c r="A23" s="195" t="s">
        <v>441</v>
      </c>
      <c r="B23" s="197" t="s">
        <v>355</v>
      </c>
      <c r="C23" s="199" t="s">
        <v>355</v>
      </c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6"/>
      <c r="S23" s="199"/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178" t="s">
        <v>789</v>
      </c>
      <c r="C26" s="179"/>
      <c r="D26" s="179"/>
      <c r="E26" s="179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178"/>
      <c r="C27" s="178"/>
      <c r="D27" s="178" t="s">
        <v>790</v>
      </c>
      <c r="E27" s="179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85"/>
      <c r="C28" s="46"/>
      <c r="D28" s="46"/>
      <c r="E28" s="46"/>
      <c r="F28" s="46"/>
      <c r="G28" s="46"/>
      <c r="H28" s="46"/>
      <c r="I28" s="46"/>
      <c r="J28" s="46">
        <f>'D0770'!J28+1</f>
        <v>83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mergeCells count="40">
    <mergeCell ref="A3:A4"/>
    <mergeCell ref="B3:B4"/>
    <mergeCell ref="S3:W4"/>
    <mergeCell ref="A5:A6"/>
    <mergeCell ref="S5:W6"/>
    <mergeCell ref="A7:A8"/>
    <mergeCell ref="S7:W8"/>
    <mergeCell ref="R5:R6"/>
    <mergeCell ref="R7:R8"/>
    <mergeCell ref="A9:A10"/>
    <mergeCell ref="S9:W10"/>
    <mergeCell ref="C9:R9"/>
    <mergeCell ref="R19:R20"/>
    <mergeCell ref="S19:W20"/>
    <mergeCell ref="B19:B20"/>
    <mergeCell ref="S17:W18"/>
    <mergeCell ref="A11:A12"/>
    <mergeCell ref="B11:B12"/>
    <mergeCell ref="S11:W12"/>
    <mergeCell ref="R11:R12"/>
    <mergeCell ref="R15:R16"/>
    <mergeCell ref="S15:W16"/>
    <mergeCell ref="A13:A14"/>
    <mergeCell ref="B13:B14"/>
    <mergeCell ref="R21:R22"/>
    <mergeCell ref="A23:A24"/>
    <mergeCell ref="B23:B24"/>
    <mergeCell ref="S23:W24"/>
    <mergeCell ref="S13:W14"/>
    <mergeCell ref="S21:W22"/>
    <mergeCell ref="C23:R23"/>
    <mergeCell ref="A19:A20"/>
    <mergeCell ref="B21:B22"/>
    <mergeCell ref="A15:A16"/>
    <mergeCell ref="B15:B16"/>
    <mergeCell ref="A21:A22"/>
    <mergeCell ref="R13:R14"/>
    <mergeCell ref="B17:B18"/>
    <mergeCell ref="A17:A18"/>
    <mergeCell ref="R17:R18"/>
  </mergeCells>
  <phoneticPr fontId="18"/>
  <hyperlinks>
    <hyperlink ref="A1" location="レジスタ概要!A1" display="レジスタ概要!A1" xr:uid="{00000000-0004-0000-3600-000000000000}"/>
  </hyperlinks>
  <pageMargins left="0.98425196850393704" right="0.78740157480314998" top="0.78740157480314998" bottom="0.39370078740157499" header="0.78740157480314998" footer="0.39370078740157499"/>
  <pageSetup paperSize="9" scale="95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pageSetUpPr fitToPage="1"/>
  </sheetPr>
  <dimension ref="A1:W29"/>
  <sheetViews>
    <sheetView workbookViewId="0">
      <selection activeCell="N17" sqref="N17"/>
    </sheetView>
  </sheetViews>
  <sheetFormatPr defaultColWidth="9" defaultRowHeight="13.5" x14ac:dyDescent="0.15"/>
  <cols>
    <col min="1" max="1" width="8.125" style="27" customWidth="1"/>
    <col min="2" max="2" width="15.625" style="27" customWidth="1"/>
    <col min="3" max="19" width="5.625" style="27" customWidth="1"/>
    <col min="20" max="20" width="5.125" style="27" customWidth="1"/>
    <col min="21" max="21" width="3.625" style="27" customWidth="1"/>
    <col min="22" max="22" width="1.625" style="27" customWidth="1"/>
    <col min="23" max="23" width="3.625" style="27" customWidth="1"/>
    <col min="24" max="16384" width="9" style="27"/>
  </cols>
  <sheetData>
    <row r="1" spans="1:23" ht="14.25" thickBot="1" x14ac:dyDescent="0.2">
      <c r="A1" s="26" t="s">
        <v>99</v>
      </c>
    </row>
    <row r="2" spans="1:23" ht="24" customHeight="1" x14ac:dyDescent="0.15">
      <c r="A2" s="52" t="str">
        <f>IF(MID(A5,3,3)&lt;="290","伝送エリアマップ ： [ ＰＬＣ → ＣＰＵ ]","伝送エリアマップ ： [ ＣＰＵ → ＰＬＣ ]")</f>
        <v>伝送エリアマップ ： [ ＣＰＵ → ＰＬＣ ]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8"/>
      <c r="Q2" s="28"/>
      <c r="R2" s="28" t="str">
        <f>IF(CODE(MID(A5,3,1))&lt;50,"〈入力／　　〉","〈　　／出力〉")</f>
        <v>〈　　／出力〉</v>
      </c>
      <c r="S2" s="28"/>
      <c r="T2" s="30"/>
      <c r="U2" s="30"/>
      <c r="V2" s="31"/>
      <c r="W2" s="32"/>
    </row>
    <row r="3" spans="1:23" ht="18" customHeight="1" x14ac:dyDescent="0.15">
      <c r="A3" s="220" t="s">
        <v>100</v>
      </c>
      <c r="B3" s="222" t="s">
        <v>101</v>
      </c>
      <c r="C3" s="33" t="s">
        <v>102</v>
      </c>
      <c r="D3" s="34"/>
      <c r="E3" s="34"/>
      <c r="F3" s="34"/>
      <c r="G3" s="34"/>
      <c r="H3" s="35"/>
      <c r="I3" s="35"/>
      <c r="J3" s="34" t="s">
        <v>103</v>
      </c>
      <c r="K3" s="35"/>
      <c r="L3" s="35"/>
      <c r="M3" s="35"/>
      <c r="N3" s="35"/>
      <c r="O3" s="35"/>
      <c r="P3" s="35"/>
      <c r="Q3" s="35"/>
      <c r="R3" s="36" t="s">
        <v>104</v>
      </c>
      <c r="S3" s="210" t="s">
        <v>105</v>
      </c>
      <c r="T3" s="211"/>
      <c r="U3" s="211"/>
      <c r="V3" s="211"/>
      <c r="W3" s="212"/>
    </row>
    <row r="4" spans="1:23" ht="18" customHeight="1" thickBot="1" x14ac:dyDescent="0.2">
      <c r="A4" s="221"/>
      <c r="B4" s="223"/>
      <c r="C4" s="37" t="s">
        <v>106</v>
      </c>
      <c r="D4" s="37" t="s">
        <v>107</v>
      </c>
      <c r="E4" s="37" t="s">
        <v>108</v>
      </c>
      <c r="F4" s="37" t="s">
        <v>109</v>
      </c>
      <c r="G4" s="37" t="s">
        <v>110</v>
      </c>
      <c r="H4" s="37" t="s">
        <v>111</v>
      </c>
      <c r="I4" s="37" t="s">
        <v>112</v>
      </c>
      <c r="J4" s="37" t="s">
        <v>113</v>
      </c>
      <c r="K4" s="37" t="s">
        <v>114</v>
      </c>
      <c r="L4" s="37" t="s">
        <v>115</v>
      </c>
      <c r="M4" s="37" t="s">
        <v>116</v>
      </c>
      <c r="N4" s="37" t="s">
        <v>117</v>
      </c>
      <c r="O4" s="37" t="s">
        <v>118</v>
      </c>
      <c r="P4" s="37" t="s">
        <v>119</v>
      </c>
      <c r="Q4" s="37" t="s">
        <v>120</v>
      </c>
      <c r="R4" s="37" t="s">
        <v>121</v>
      </c>
      <c r="S4" s="213"/>
      <c r="T4" s="214"/>
      <c r="U4" s="214"/>
      <c r="V4" s="214"/>
      <c r="W4" s="215"/>
    </row>
    <row r="5" spans="1:23" ht="22.5" customHeight="1" thickTop="1" x14ac:dyDescent="0.15">
      <c r="A5" s="216" t="s">
        <v>122</v>
      </c>
      <c r="B5" s="197"/>
      <c r="C5" s="38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40"/>
      <c r="S5" s="199"/>
      <c r="T5" s="200"/>
      <c r="U5" s="200"/>
      <c r="V5" s="200"/>
      <c r="W5" s="201"/>
    </row>
    <row r="6" spans="1:23" ht="22.5" customHeight="1" x14ac:dyDescent="0.15">
      <c r="A6" s="209"/>
      <c r="B6" s="198"/>
      <c r="C6" s="41"/>
      <c r="D6" s="42"/>
      <c r="E6" s="42"/>
      <c r="F6" s="42"/>
      <c r="G6" s="43"/>
      <c r="H6" s="42"/>
      <c r="I6" s="42"/>
      <c r="J6" s="42"/>
      <c r="K6" s="43"/>
      <c r="L6" s="42"/>
      <c r="M6" s="42"/>
      <c r="N6" s="42"/>
      <c r="O6" s="43"/>
      <c r="P6" s="42"/>
      <c r="Q6" s="42"/>
      <c r="R6" s="44"/>
      <c r="S6" s="202"/>
      <c r="T6" s="203"/>
      <c r="U6" s="203"/>
      <c r="V6" s="203"/>
      <c r="W6" s="204"/>
    </row>
    <row r="7" spans="1:23" ht="22.5" customHeight="1" x14ac:dyDescent="0.15">
      <c r="A7" s="195" t="s">
        <v>123</v>
      </c>
      <c r="B7" s="197"/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40"/>
      <c r="S7" s="199"/>
      <c r="T7" s="200"/>
      <c r="U7" s="200"/>
      <c r="V7" s="200"/>
      <c r="W7" s="201"/>
    </row>
    <row r="8" spans="1:23" ht="22.5" customHeight="1" x14ac:dyDescent="0.15">
      <c r="A8" s="209"/>
      <c r="B8" s="198"/>
      <c r="C8" s="41"/>
      <c r="D8" s="42"/>
      <c r="E8" s="42"/>
      <c r="F8" s="42"/>
      <c r="G8" s="43"/>
      <c r="H8" s="42"/>
      <c r="I8" s="42"/>
      <c r="J8" s="42"/>
      <c r="K8" s="43"/>
      <c r="L8" s="42"/>
      <c r="M8" s="42"/>
      <c r="N8" s="42"/>
      <c r="O8" s="43"/>
      <c r="P8" s="42"/>
      <c r="Q8" s="42"/>
      <c r="R8" s="44"/>
      <c r="S8" s="202"/>
      <c r="T8" s="203"/>
      <c r="U8" s="203"/>
      <c r="V8" s="203"/>
      <c r="W8" s="204"/>
    </row>
    <row r="9" spans="1:23" ht="22.5" customHeight="1" x14ac:dyDescent="0.15">
      <c r="A9" s="195" t="s">
        <v>124</v>
      </c>
      <c r="B9" s="197"/>
      <c r="C9" s="38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199"/>
      <c r="T9" s="200"/>
      <c r="U9" s="200"/>
      <c r="V9" s="200"/>
      <c r="W9" s="201"/>
    </row>
    <row r="10" spans="1:23" ht="22.5" customHeight="1" x14ac:dyDescent="0.15">
      <c r="A10" s="209"/>
      <c r="B10" s="198"/>
      <c r="C10" s="41"/>
      <c r="D10" s="42"/>
      <c r="E10" s="42"/>
      <c r="F10" s="42"/>
      <c r="G10" s="43"/>
      <c r="H10" s="42"/>
      <c r="I10" s="42"/>
      <c r="J10" s="42"/>
      <c r="K10" s="43"/>
      <c r="L10" s="42"/>
      <c r="M10" s="42"/>
      <c r="N10" s="42"/>
      <c r="O10" s="43"/>
      <c r="P10" s="42"/>
      <c r="Q10" s="42"/>
      <c r="R10" s="44"/>
      <c r="S10" s="202"/>
      <c r="T10" s="203"/>
      <c r="U10" s="203"/>
      <c r="V10" s="203"/>
      <c r="W10" s="204"/>
    </row>
    <row r="11" spans="1:23" ht="22.5" customHeight="1" x14ac:dyDescent="0.15">
      <c r="A11" s="195" t="s">
        <v>125</v>
      </c>
      <c r="B11" s="197"/>
      <c r="C11" s="38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199"/>
      <c r="T11" s="200"/>
      <c r="U11" s="200"/>
      <c r="V11" s="200"/>
      <c r="W11" s="201"/>
    </row>
    <row r="12" spans="1:23" ht="22.5" customHeight="1" x14ac:dyDescent="0.15">
      <c r="A12" s="196"/>
      <c r="B12" s="198"/>
      <c r="C12" s="41"/>
      <c r="D12" s="42"/>
      <c r="E12" s="42"/>
      <c r="F12" s="42"/>
      <c r="G12" s="43"/>
      <c r="H12" s="42"/>
      <c r="I12" s="42"/>
      <c r="J12" s="42"/>
      <c r="K12" s="43"/>
      <c r="L12" s="42"/>
      <c r="M12" s="42"/>
      <c r="N12" s="42"/>
      <c r="O12" s="43"/>
      <c r="P12" s="42"/>
      <c r="Q12" s="42"/>
      <c r="R12" s="44"/>
      <c r="S12" s="202"/>
      <c r="T12" s="203"/>
      <c r="U12" s="203"/>
      <c r="V12" s="203"/>
      <c r="W12" s="204"/>
    </row>
    <row r="13" spans="1:23" ht="22.5" customHeight="1" x14ac:dyDescent="0.15">
      <c r="A13" s="195" t="s">
        <v>126</v>
      </c>
      <c r="B13" s="197"/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199"/>
      <c r="T13" s="200"/>
      <c r="U13" s="200"/>
      <c r="V13" s="200"/>
      <c r="W13" s="201"/>
    </row>
    <row r="14" spans="1:23" ht="22.5" customHeight="1" x14ac:dyDescent="0.15">
      <c r="A14" s="196"/>
      <c r="B14" s="198"/>
      <c r="C14" s="41"/>
      <c r="D14" s="42"/>
      <c r="E14" s="42"/>
      <c r="F14" s="42"/>
      <c r="G14" s="43"/>
      <c r="H14" s="42"/>
      <c r="I14" s="42"/>
      <c r="J14" s="42"/>
      <c r="K14" s="43"/>
      <c r="L14" s="42"/>
      <c r="M14" s="42"/>
      <c r="N14" s="42"/>
      <c r="O14" s="43"/>
      <c r="P14" s="42"/>
      <c r="Q14" s="42"/>
      <c r="R14" s="44"/>
      <c r="S14" s="202"/>
      <c r="T14" s="203"/>
      <c r="U14" s="203"/>
      <c r="V14" s="203"/>
      <c r="W14" s="204"/>
    </row>
    <row r="15" spans="1:23" ht="22.5" customHeight="1" x14ac:dyDescent="0.15">
      <c r="A15" s="195" t="s">
        <v>127</v>
      </c>
      <c r="B15" s="197"/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199"/>
      <c r="T15" s="200"/>
      <c r="U15" s="200"/>
      <c r="V15" s="200"/>
      <c r="W15" s="201"/>
    </row>
    <row r="16" spans="1:23" ht="22.5" customHeight="1" x14ac:dyDescent="0.15">
      <c r="A16" s="196"/>
      <c r="B16" s="198"/>
      <c r="C16" s="41"/>
      <c r="D16" s="42"/>
      <c r="E16" s="42"/>
      <c r="F16" s="42"/>
      <c r="G16" s="43"/>
      <c r="H16" s="42"/>
      <c r="I16" s="42"/>
      <c r="J16" s="42"/>
      <c r="K16" s="43"/>
      <c r="L16" s="42"/>
      <c r="M16" s="42"/>
      <c r="N16" s="42"/>
      <c r="O16" s="43"/>
      <c r="P16" s="42"/>
      <c r="Q16" s="42"/>
      <c r="R16" s="44"/>
      <c r="S16" s="202"/>
      <c r="T16" s="203"/>
      <c r="U16" s="203"/>
      <c r="V16" s="203"/>
      <c r="W16" s="204"/>
    </row>
    <row r="17" spans="1:23" ht="22.5" customHeight="1" x14ac:dyDescent="0.15">
      <c r="A17" s="195" t="s">
        <v>128</v>
      </c>
      <c r="B17" s="197"/>
      <c r="C17" s="38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199"/>
      <c r="T17" s="200"/>
      <c r="U17" s="200"/>
      <c r="V17" s="200"/>
      <c r="W17" s="201"/>
    </row>
    <row r="18" spans="1:23" ht="22.5" customHeight="1" x14ac:dyDescent="0.15">
      <c r="A18" s="196"/>
      <c r="B18" s="198"/>
      <c r="C18" s="41"/>
      <c r="D18" s="42"/>
      <c r="E18" s="42"/>
      <c r="F18" s="42"/>
      <c r="G18" s="43"/>
      <c r="H18" s="42"/>
      <c r="I18" s="42"/>
      <c r="J18" s="42"/>
      <c r="K18" s="43"/>
      <c r="L18" s="42"/>
      <c r="M18" s="42"/>
      <c r="N18" s="42"/>
      <c r="O18" s="43"/>
      <c r="P18" s="42"/>
      <c r="Q18" s="42"/>
      <c r="R18" s="44"/>
      <c r="S18" s="202"/>
      <c r="T18" s="203"/>
      <c r="U18" s="203"/>
      <c r="V18" s="203"/>
      <c r="W18" s="204"/>
    </row>
    <row r="19" spans="1:23" ht="22.5" customHeight="1" x14ac:dyDescent="0.15">
      <c r="A19" s="195" t="s">
        <v>129</v>
      </c>
      <c r="B19" s="197"/>
      <c r="C19" s="38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40"/>
      <c r="S19" s="199"/>
      <c r="T19" s="200"/>
      <c r="U19" s="200"/>
      <c r="V19" s="200"/>
      <c r="W19" s="201"/>
    </row>
    <row r="20" spans="1:23" ht="22.5" customHeight="1" x14ac:dyDescent="0.15">
      <c r="A20" s="196"/>
      <c r="B20" s="198"/>
      <c r="C20" s="41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4"/>
      <c r="S20" s="202"/>
      <c r="T20" s="203"/>
      <c r="U20" s="203"/>
      <c r="V20" s="203"/>
      <c r="W20" s="204"/>
    </row>
    <row r="21" spans="1:23" ht="22.5" customHeight="1" x14ac:dyDescent="0.15">
      <c r="A21" s="195" t="s">
        <v>130</v>
      </c>
      <c r="B21" s="197"/>
      <c r="C21" s="38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40"/>
      <c r="S21" s="199"/>
      <c r="T21" s="200"/>
      <c r="U21" s="200"/>
      <c r="V21" s="200"/>
      <c r="W21" s="201"/>
    </row>
    <row r="22" spans="1:23" ht="22.5" customHeight="1" x14ac:dyDescent="0.15">
      <c r="A22" s="196"/>
      <c r="B22" s="198"/>
      <c r="C22" s="41"/>
      <c r="D22" s="42"/>
      <c r="E22" s="42"/>
      <c r="F22" s="42"/>
      <c r="G22" s="43"/>
      <c r="H22" s="42"/>
      <c r="I22" s="42"/>
      <c r="J22" s="42"/>
      <c r="K22" s="43"/>
      <c r="L22" s="42"/>
      <c r="M22" s="42"/>
      <c r="N22" s="42"/>
      <c r="O22" s="43"/>
      <c r="P22" s="42"/>
      <c r="Q22" s="42"/>
      <c r="R22" s="44"/>
      <c r="S22" s="202"/>
      <c r="T22" s="203"/>
      <c r="U22" s="203"/>
      <c r="V22" s="203"/>
      <c r="W22" s="204"/>
    </row>
    <row r="23" spans="1:23" ht="22.5" customHeight="1" x14ac:dyDescent="0.15">
      <c r="A23" s="195" t="s">
        <v>131</v>
      </c>
      <c r="B23" s="197"/>
      <c r="C23" s="38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40"/>
      <c r="S23" s="199"/>
      <c r="T23" s="200"/>
      <c r="U23" s="200"/>
      <c r="V23" s="200"/>
      <c r="W23" s="201"/>
    </row>
    <row r="24" spans="1:23" ht="22.5" customHeight="1" x14ac:dyDescent="0.15">
      <c r="A24" s="196"/>
      <c r="B24" s="198"/>
      <c r="C24" s="41"/>
      <c r="D24" s="42"/>
      <c r="E24" s="42"/>
      <c r="F24" s="42"/>
      <c r="G24" s="43"/>
      <c r="H24" s="42"/>
      <c r="I24" s="42"/>
      <c r="J24" s="42"/>
      <c r="K24" s="43"/>
      <c r="L24" s="42"/>
      <c r="M24" s="42"/>
      <c r="N24" s="42"/>
      <c r="O24" s="43"/>
      <c r="P24" s="42"/>
      <c r="Q24" s="42"/>
      <c r="R24" s="44"/>
      <c r="S24" s="202"/>
      <c r="T24" s="203"/>
      <c r="U24" s="203"/>
      <c r="V24" s="203"/>
      <c r="W24" s="204"/>
    </row>
    <row r="25" spans="1:23" x14ac:dyDescent="0.15">
      <c r="A25" s="45" t="s">
        <v>132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7"/>
    </row>
    <row r="26" spans="1:23" x14ac:dyDescent="0.1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7"/>
    </row>
    <row r="27" spans="1:23" x14ac:dyDescent="0.1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7"/>
    </row>
    <row r="28" spans="1:23" x14ac:dyDescent="0.15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7"/>
    </row>
    <row r="29" spans="1:23" ht="14.25" thickBot="1" x14ac:dyDescent="0.2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</sheetData>
  <dataConsolidate/>
  <mergeCells count="33">
    <mergeCell ref="A23:A24"/>
    <mergeCell ref="B23:B24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B21:B22"/>
    <mergeCell ref="B5:B6"/>
    <mergeCell ref="B7:B8"/>
    <mergeCell ref="B9:B10"/>
    <mergeCell ref="A21:A22"/>
    <mergeCell ref="B3:B4"/>
    <mergeCell ref="S3:W4"/>
    <mergeCell ref="B17:B18"/>
    <mergeCell ref="B19:B20"/>
    <mergeCell ref="B11:B12"/>
    <mergeCell ref="B13:B14"/>
    <mergeCell ref="B15:B16"/>
    <mergeCell ref="S5:W6"/>
    <mergeCell ref="S9:W10"/>
    <mergeCell ref="S11:W12"/>
    <mergeCell ref="S7:W8"/>
    <mergeCell ref="S21:W22"/>
    <mergeCell ref="S23:W24"/>
    <mergeCell ref="S13:W14"/>
    <mergeCell ref="S15:W16"/>
    <mergeCell ref="S17:W18"/>
    <mergeCell ref="S19:W20"/>
  </mergeCells>
  <phoneticPr fontId="2"/>
  <hyperlinks>
    <hyperlink ref="A1" location="レジスタ概要!A1" display="レジスタ概要!A1" xr:uid="{00000000-0004-0000-3700-000000000000}"/>
  </hyperlinks>
  <pageMargins left="0.98425196850393704" right="0.78740157480314998" top="0.78740157480314998" bottom="0.39370078740157499" header="0.78740157480314998" footer="0.39370078740157499"/>
  <pageSetup paperSize="9" scale="94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42</vt:i4>
      </vt:variant>
      <vt:variant>
        <vt:lpstr>名前付き一覧</vt:lpstr>
      </vt:variant>
      <vt:variant>
        <vt:i4>3</vt:i4>
      </vt:variant>
    </vt:vector>
  </HeadingPairs>
  <TitlesOfParts>
    <vt:vector size="45" baseType="lpstr">
      <vt:lpstr>説明</vt:lpstr>
      <vt:lpstr>レジスタ概要</vt:lpstr>
      <vt:lpstr>D0000</vt:lpstr>
      <vt:lpstr>D0010</vt:lpstr>
      <vt:lpstr>D0030</vt:lpstr>
      <vt:lpstr>D0040</vt:lpstr>
      <vt:lpstr>D0120</vt:lpstr>
      <vt:lpstr>D0130</vt:lpstr>
      <vt:lpstr>D0140</vt:lpstr>
      <vt:lpstr>D0150</vt:lpstr>
      <vt:lpstr>D0170</vt:lpstr>
      <vt:lpstr>D0190</vt:lpstr>
      <vt:lpstr>D0200</vt:lpstr>
      <vt:lpstr>D0210</vt:lpstr>
      <vt:lpstr>D0220</vt:lpstr>
      <vt:lpstr>D0230</vt:lpstr>
      <vt:lpstr>D0240</vt:lpstr>
      <vt:lpstr>D0290</vt:lpstr>
      <vt:lpstr>D0310</vt:lpstr>
      <vt:lpstr>D0320</vt:lpstr>
      <vt:lpstr>D0380</vt:lpstr>
      <vt:lpstr>D0400</vt:lpstr>
      <vt:lpstr>D0410</vt:lpstr>
      <vt:lpstr>D0420</vt:lpstr>
      <vt:lpstr>D0430</vt:lpstr>
      <vt:lpstr>D0440</vt:lpstr>
      <vt:lpstr>D0450</vt:lpstr>
      <vt:lpstr>D0460</vt:lpstr>
      <vt:lpstr>D0470</vt:lpstr>
      <vt:lpstr>D0480</vt:lpstr>
      <vt:lpstr>D0490</vt:lpstr>
      <vt:lpstr>D0500</vt:lpstr>
      <vt:lpstr>D0510</vt:lpstr>
      <vt:lpstr>D0520</vt:lpstr>
      <vt:lpstr>D0530</vt:lpstr>
      <vt:lpstr>D0540</vt:lpstr>
      <vt:lpstr>D0550</vt:lpstr>
      <vt:lpstr>D0720</vt:lpstr>
      <vt:lpstr>D0730</vt:lpstr>
      <vt:lpstr>D0770</vt:lpstr>
      <vt:lpstr>D0780</vt:lpstr>
      <vt:lpstr>Form</vt:lpstr>
      <vt:lpstr>'D0030'!Print_Area</vt:lpstr>
      <vt:lpstr>'D0730'!Print_Area</vt:lpstr>
      <vt:lpstr>レジスタ概要!Print_Area</vt:lpstr>
    </vt:vector>
  </TitlesOfParts>
  <Company>Ishikawajima System Technology Co.,Ltd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Ryo.Takahashi</dc:creator>
  <cp:lastModifiedBy>福田　耕平</cp:lastModifiedBy>
  <cp:lastPrinted>2019-10-23T01:12:43Z</cp:lastPrinted>
  <dcterms:created xsi:type="dcterms:W3CDTF">2000-08-08T17:05:12Z</dcterms:created>
  <dcterms:modified xsi:type="dcterms:W3CDTF">2022-12-27T23:42:26Z</dcterms:modified>
</cp:coreProperties>
</file>